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fontes\Documents\Projects\Regional-Monitoring\Indicator_Gen\config\"/>
    </mc:Choice>
  </mc:AlternateContent>
  <xr:revisionPtr revIDLastSave="0" documentId="13_ncr:1_{EC6CAF0D-8AAE-4F73-AB21-285F32C6228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ources" sheetId="7" r:id="rId1"/>
    <sheet name="CA" sheetId="4" r:id="rId2"/>
    <sheet name="BLS_National" sheetId="5" r:id="rId3"/>
    <sheet name="BLS_West" sheetId="6" r:id="rId4"/>
    <sheet name="BLS_West monthly" sheetId="8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5" l="1"/>
  <c r="F3" i="5"/>
  <c r="F4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5" i="5"/>
  <c r="B3" i="6" a="1"/>
  <c r="B3" i="6" s="1"/>
  <c r="B4" i="6" a="1"/>
  <c r="B4" i="6" s="1"/>
  <c r="B5" i="6" a="1"/>
  <c r="B5" i="6" s="1"/>
  <c r="B6" i="6" a="1"/>
  <c r="B6" i="6" s="1"/>
  <c r="B7" i="6" a="1"/>
  <c r="B7" i="6" s="1"/>
  <c r="B8" i="6" a="1"/>
  <c r="B8" i="6" s="1"/>
  <c r="B9" i="6" a="1"/>
  <c r="B9" i="6" s="1"/>
  <c r="B10" i="6" a="1"/>
  <c r="B10" i="6" s="1"/>
  <c r="B11" i="6" a="1"/>
  <c r="B11" i="6" s="1"/>
  <c r="B12" i="6" a="1"/>
  <c r="B12" i="6" s="1"/>
  <c r="B13" i="6" a="1"/>
  <c r="B13" i="6" s="1"/>
  <c r="B14" i="6" a="1"/>
  <c r="B14" i="6" s="1"/>
  <c r="B15" i="6" a="1"/>
  <c r="B15" i="6" s="1"/>
  <c r="B16" i="6" a="1"/>
  <c r="B16" i="6" s="1"/>
  <c r="B17" i="6" a="1"/>
  <c r="B17" i="6" s="1"/>
  <c r="B18" i="6" a="1"/>
  <c r="B18" i="6" s="1"/>
  <c r="B19" i="6" a="1"/>
  <c r="B19" i="6" s="1"/>
  <c r="B20" i="6" a="1"/>
  <c r="B20" i="6" s="1"/>
  <c r="B21" i="6" a="1"/>
  <c r="B21" i="6" s="1"/>
  <c r="B22" i="6" a="1"/>
  <c r="B22" i="6" s="1"/>
  <c r="B23" i="6" a="1"/>
  <c r="B23" i="6" s="1"/>
  <c r="B24" i="6" a="1"/>
  <c r="B24" i="6" s="1"/>
  <c r="B25" i="6" a="1"/>
  <c r="B25" i="6" s="1"/>
  <c r="B26" i="6" a="1"/>
  <c r="B26" i="6" s="1"/>
  <c r="B27" i="6" a="1"/>
  <c r="B27" i="6" s="1"/>
  <c r="B2" i="6" a="1"/>
  <c r="B2" i="6" s="1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2" i="5"/>
  <c r="E3" i="5"/>
  <c r="E4" i="5"/>
  <c r="D2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3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2" i="5"/>
  <c r="E9" i="6" l="1"/>
  <c r="F8" i="6"/>
  <c r="F23" i="6"/>
  <c r="F7" i="6"/>
  <c r="F22" i="6"/>
  <c r="F6" i="6"/>
  <c r="F21" i="6"/>
  <c r="E25" i="6"/>
  <c r="F20" i="6"/>
  <c r="F19" i="6"/>
  <c r="F18" i="6"/>
  <c r="F17" i="6"/>
  <c r="F16" i="6"/>
  <c r="F5" i="6"/>
  <c r="F15" i="6"/>
  <c r="F4" i="6"/>
  <c r="F14" i="6"/>
  <c r="F3" i="6"/>
  <c r="F13" i="6"/>
  <c r="F2" i="6"/>
  <c r="F12" i="6"/>
  <c r="F27" i="6"/>
  <c r="F11" i="6"/>
  <c r="F26" i="6"/>
  <c r="F10" i="6"/>
  <c r="F25" i="6"/>
  <c r="F9" i="6"/>
  <c r="F24" i="6"/>
  <c r="E20" i="6"/>
  <c r="E6" i="6"/>
  <c r="E4" i="6"/>
  <c r="E14" i="6"/>
  <c r="E22" i="6"/>
  <c r="E18" i="6"/>
  <c r="E19" i="6"/>
  <c r="E15" i="6"/>
  <c r="D14" i="6"/>
  <c r="E3" i="6"/>
  <c r="D19" i="6"/>
  <c r="D3" i="6"/>
  <c r="D10" i="6"/>
  <c r="D24" i="6"/>
  <c r="D8" i="6"/>
  <c r="D13" i="6"/>
  <c r="D18" i="6"/>
  <c r="D17" i="6"/>
  <c r="D26" i="6"/>
  <c r="D23" i="6"/>
  <c r="D7" i="6"/>
  <c r="D12" i="6"/>
  <c r="D22" i="6"/>
  <c r="D6" i="6"/>
  <c r="D27" i="6"/>
  <c r="D11" i="6"/>
  <c r="D15" i="6"/>
  <c r="D9" i="6"/>
  <c r="D16" i="6"/>
  <c r="D21" i="6"/>
  <c r="D5" i="6"/>
  <c r="D20" i="6"/>
  <c r="D4" i="6"/>
  <c r="D25" i="6"/>
  <c r="E10" i="6"/>
  <c r="E26" i="6"/>
  <c r="E5" i="6"/>
  <c r="E21" i="6"/>
  <c r="E16" i="6"/>
  <c r="E11" i="6"/>
  <c r="E27" i="6"/>
  <c r="E17" i="6"/>
  <c r="E12" i="6"/>
  <c r="E7" i="6"/>
  <c r="E23" i="6"/>
  <c r="E13" i="6"/>
  <c r="E8" i="6"/>
  <c r="E24" i="6"/>
  <c r="C24" i="6"/>
  <c r="C20" i="6"/>
  <c r="C16" i="6"/>
  <c r="C12" i="6"/>
  <c r="C8" i="6"/>
  <c r="C4" i="6"/>
  <c r="C27" i="6"/>
  <c r="C23" i="6"/>
  <c r="C19" i="6"/>
  <c r="C15" i="6"/>
  <c r="C11" i="6"/>
  <c r="C7" i="6"/>
  <c r="C3" i="6"/>
  <c r="C21" i="6"/>
  <c r="E2" i="6"/>
  <c r="C25" i="6"/>
  <c r="C9" i="6"/>
  <c r="D2" i="6"/>
  <c r="C13" i="6"/>
  <c r="C26" i="6"/>
  <c r="C22" i="6"/>
  <c r="C18" i="6"/>
  <c r="C14" i="6"/>
  <c r="C10" i="6"/>
  <c r="C6" i="6"/>
  <c r="C2" i="6"/>
  <c r="C17" i="6"/>
  <c r="C5" i="6"/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<sst xmlns="http://schemas.openxmlformats.org/spreadsheetml/2006/main" count="331" uniqueCount="320">
  <si>
    <t>Year</t>
  </si>
  <si>
    <t>All Urban Consumers</t>
  </si>
  <si>
    <t>IAF_2023</t>
  </si>
  <si>
    <t>IAF_2022</t>
  </si>
  <si>
    <t>IAF_2021</t>
  </si>
  <si>
    <t>IAF_2020</t>
  </si>
  <si>
    <t>All Items</t>
  </si>
  <si>
    <t>BLS_West</t>
  </si>
  <si>
    <t>Consumer Price Index, West Region — April 2024 : Western Information Office : U.S. Bureau of Labor Statistics (bls.gov)</t>
  </si>
  <si>
    <t>Tab</t>
  </si>
  <si>
    <t>Link</t>
  </si>
  <si>
    <t>BLS_National</t>
  </si>
  <si>
    <t>R-CPI-U-RS Homepage : U.S. Bureau of Labor Statistics (bls.gov)</t>
  </si>
  <si>
    <t>Entire California Consumer Price Index</t>
  </si>
  <si>
    <t>CA</t>
  </si>
  <si>
    <t>Month/Year Date</t>
  </si>
  <si>
    <t>Date</t>
  </si>
  <si>
    <t>CPI</t>
  </si>
  <si>
    <t>CPI Adjusted (2022)</t>
  </si>
  <si>
    <t>Jan-1998</t>
  </si>
  <si>
    <t>Feb-1998</t>
  </si>
  <si>
    <t>Mar-1998</t>
  </si>
  <si>
    <t>Apr-1998</t>
  </si>
  <si>
    <t>May-1998</t>
  </si>
  <si>
    <t>Jun-1998</t>
  </si>
  <si>
    <t>Jul-1998</t>
  </si>
  <si>
    <t>Aug-1998</t>
  </si>
  <si>
    <t>Sep-1998</t>
  </si>
  <si>
    <t>Oct-1998</t>
  </si>
  <si>
    <t>Nov-1998</t>
  </si>
  <si>
    <t>Dec-1998</t>
  </si>
  <si>
    <t>Jan-1999</t>
  </si>
  <si>
    <t>Feb-1999</t>
  </si>
  <si>
    <t>Mar-1999</t>
  </si>
  <si>
    <t>Apr-1999</t>
  </si>
  <si>
    <t>May-1999</t>
  </si>
  <si>
    <t>Jun-1999</t>
  </si>
  <si>
    <t>Jul-1999</t>
  </si>
  <si>
    <t>Aug-1999</t>
  </si>
  <si>
    <t>Sep-1999</t>
  </si>
  <si>
    <t>Oct-1999</t>
  </si>
  <si>
    <t>Nov-1999</t>
  </si>
  <si>
    <t>Dec-1999</t>
  </si>
  <si>
    <t>Jan-2000</t>
  </si>
  <si>
    <t>Feb-2000</t>
  </si>
  <si>
    <t>Mar-2000</t>
  </si>
  <si>
    <t>Apr-2000</t>
  </si>
  <si>
    <t>May-2000</t>
  </si>
  <si>
    <t>Jun-2000</t>
  </si>
  <si>
    <t>Jul-2000</t>
  </si>
  <si>
    <t>Aug-2000</t>
  </si>
  <si>
    <t>Sep-2000</t>
  </si>
  <si>
    <t>Oct-2000</t>
  </si>
  <si>
    <t>Nov-2000</t>
  </si>
  <si>
    <t>Dec-2000</t>
  </si>
  <si>
    <t>Jan-2001</t>
  </si>
  <si>
    <t>Feb-2001</t>
  </si>
  <si>
    <t>Mar-2001</t>
  </si>
  <si>
    <t>Apr-2001</t>
  </si>
  <si>
    <t>May-2001</t>
  </si>
  <si>
    <t>Jun-2001</t>
  </si>
  <si>
    <t>Jul-2001</t>
  </si>
  <si>
    <t>Aug-2001</t>
  </si>
  <si>
    <t>Sep-2001</t>
  </si>
  <si>
    <t>Oct-2001</t>
  </si>
  <si>
    <t>Nov-2001</t>
  </si>
  <si>
    <t>Dec-2001</t>
  </si>
  <si>
    <t>Jan-2002</t>
  </si>
  <si>
    <t>Feb-2002</t>
  </si>
  <si>
    <t>Mar-2002</t>
  </si>
  <si>
    <t>Apr-2002</t>
  </si>
  <si>
    <t>May-2002</t>
  </si>
  <si>
    <t>Jun-2002</t>
  </si>
  <si>
    <t>Jul-2002</t>
  </si>
  <si>
    <t>Aug-2002</t>
  </si>
  <si>
    <t>Sep-2002</t>
  </si>
  <si>
    <t>Oct-2002</t>
  </si>
  <si>
    <t>Nov-2002</t>
  </si>
  <si>
    <t>Dec-2002</t>
  </si>
  <si>
    <t>Jan-2003</t>
  </si>
  <si>
    <t>Feb-2003</t>
  </si>
  <si>
    <t>Mar-2003</t>
  </si>
  <si>
    <t>Apr-2003</t>
  </si>
  <si>
    <t>May-2003</t>
  </si>
  <si>
    <t>Jun-2003</t>
  </si>
  <si>
    <t>Jul-2003</t>
  </si>
  <si>
    <t>Aug-2003</t>
  </si>
  <si>
    <t>Sep-2003</t>
  </si>
  <si>
    <t>Oct-2003</t>
  </si>
  <si>
    <t>Nov-2003</t>
  </si>
  <si>
    <t>Dec-2003</t>
  </si>
  <si>
    <t>Jan-2004</t>
  </si>
  <si>
    <t>Feb-2004</t>
  </si>
  <si>
    <t>Mar-2004</t>
  </si>
  <si>
    <t>Apr-2004</t>
  </si>
  <si>
    <t>May-2004</t>
  </si>
  <si>
    <t>Jun-2004</t>
  </si>
  <si>
    <t>Jul-2004</t>
  </si>
  <si>
    <t>Aug-2004</t>
  </si>
  <si>
    <t>Sep-2004</t>
  </si>
  <si>
    <t>Oct-2004</t>
  </si>
  <si>
    <t>Nov-2004</t>
  </si>
  <si>
    <t>Dec-2004</t>
  </si>
  <si>
    <t>Jan-2005</t>
  </si>
  <si>
    <t>Feb-2005</t>
  </si>
  <si>
    <t>Mar-2005</t>
  </si>
  <si>
    <t>Apr-2005</t>
  </si>
  <si>
    <t>May-2005</t>
  </si>
  <si>
    <t>Jun-2005</t>
  </si>
  <si>
    <t>Jul-2005</t>
  </si>
  <si>
    <t>Aug-2005</t>
  </si>
  <si>
    <t>Sep-2005</t>
  </si>
  <si>
    <t>Oct-2005</t>
  </si>
  <si>
    <t>Nov-2005</t>
  </si>
  <si>
    <t>Dec-2005</t>
  </si>
  <si>
    <t>Jan-2006</t>
  </si>
  <si>
    <t>Feb-2006</t>
  </si>
  <si>
    <t>Mar-2006</t>
  </si>
  <si>
    <t>Apr-2006</t>
  </si>
  <si>
    <t>May-2006</t>
  </si>
  <si>
    <t>Jun-2006</t>
  </si>
  <si>
    <t>Jul-2006</t>
  </si>
  <si>
    <t>Aug-2006</t>
  </si>
  <si>
    <t>Sep-2006</t>
  </si>
  <si>
    <t>Oct-2006</t>
  </si>
  <si>
    <t>Nov-2006</t>
  </si>
  <si>
    <t>Dec-2006</t>
  </si>
  <si>
    <t>Jan-2007</t>
  </si>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</sst>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b/>
      <sz val="10"/>
      <color rgb="FF000000"/>
      <name val="Times New Roman"/>
      <family val="1"/>
    </font>
    <font>
      <u/>
      <sz val="10"/>
      <color theme="10"/>
      <name val="Times New Roman"/>
      <charset val="204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acog.sharepoint.com/sites/DataDevelopmentMonitoringandSupport/Shared%20Documents/Data%20Developement,%20Monitoring%20and%20Support/RegionalProgressReport/2021%20report/2020Data/ConnectComms/Costs/gas%20cpi_bag_2016_updated%20transit%20fares%20groups.xlsx" TargetMode="External"/><Relationship Id="rId2" Type="http://schemas.microsoft.com/office/2019/04/relationships/externalLinkLongPath" Target="https://sacog.sharepoint.com/sites/DataDevelopmentMonitoringandSupport/Shared%20Documents/Data%20Developement,%20Monitoring%20and%20Support/RegionalProgressReport/2021%20report/2020Data/ConnectComms/Costs/gas%20cpi_bag_2016_updated%20transit%20fares%20groups.xlsx?7D1FBD5F" TargetMode="External"/><Relationship Id="rId1" Type="http://schemas.openxmlformats.org/officeDocument/2006/relationships/externalLinkPath" Target="file:///\\7D1FBD5F\gas%20cpi_bag_2016_updated%20transit%20fares%20grou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monthly cpi west"/>
      <sheetName val="gasoline_CA"/>
      <sheetName val="gasoline"/>
      <sheetName val="transit fares"/>
      <sheetName val="transit fare groups"/>
      <sheetName val="pivots"/>
      <sheetName val="vmt_fhwa"/>
      <sheetName val="Sheet2"/>
      <sheetName val="names"/>
      <sheetName val="vehicle fleet mpg"/>
    </sheetNames>
    <sheetDataSet>
      <sheetData sheetId="0">
        <row r="12">
          <cell r="E12">
            <v>1998</v>
          </cell>
          <cell r="R12">
            <v>164.4</v>
          </cell>
        </row>
        <row r="13">
          <cell r="E13">
            <v>1999</v>
          </cell>
          <cell r="R13">
            <v>168.9</v>
          </cell>
        </row>
        <row r="14">
          <cell r="E14">
            <v>2000</v>
          </cell>
          <cell r="R14">
            <v>174.8</v>
          </cell>
        </row>
        <row r="15">
          <cell r="E15">
            <v>2001</v>
          </cell>
          <cell r="R15">
            <v>181.2</v>
          </cell>
        </row>
        <row r="16">
          <cell r="E16">
            <v>2002</v>
          </cell>
          <cell r="R16">
            <v>184.7</v>
          </cell>
        </row>
        <row r="17">
          <cell r="E17">
            <v>2003</v>
          </cell>
          <cell r="R17">
            <v>188.6</v>
          </cell>
        </row>
        <row r="18">
          <cell r="E18">
            <v>2004</v>
          </cell>
          <cell r="R18">
            <v>193</v>
          </cell>
        </row>
        <row r="19">
          <cell r="E19">
            <v>2005</v>
          </cell>
          <cell r="R19">
            <v>198.9</v>
          </cell>
        </row>
        <row r="20">
          <cell r="E20">
            <v>2006</v>
          </cell>
          <cell r="R20">
            <v>205.7</v>
          </cell>
        </row>
        <row r="21">
          <cell r="E21">
            <v>2007</v>
          </cell>
          <cell r="R21">
            <v>212.23</v>
          </cell>
        </row>
        <row r="22">
          <cell r="E22">
            <v>2008</v>
          </cell>
          <cell r="R22">
            <v>219.64599999999999</v>
          </cell>
        </row>
        <row r="23">
          <cell r="E23">
            <v>2009</v>
          </cell>
          <cell r="R23">
            <v>218.822</v>
          </cell>
        </row>
        <row r="24">
          <cell r="E24">
            <v>2010</v>
          </cell>
          <cell r="R24">
            <v>221.203</v>
          </cell>
        </row>
        <row r="25">
          <cell r="E25">
            <v>2011</v>
          </cell>
          <cell r="R25">
            <v>227.48500000000001</v>
          </cell>
        </row>
        <row r="26">
          <cell r="E26">
            <v>2012</v>
          </cell>
          <cell r="R26">
            <v>232.376</v>
          </cell>
        </row>
        <row r="27">
          <cell r="E27">
            <v>2013</v>
          </cell>
          <cell r="R27">
            <v>235.82400000000001</v>
          </cell>
        </row>
        <row r="28">
          <cell r="E28">
            <v>2014</v>
          </cell>
          <cell r="R28">
            <v>240.215</v>
          </cell>
        </row>
        <row r="29">
          <cell r="E29">
            <v>2015</v>
          </cell>
          <cell r="R29">
            <v>243.01499999999999</v>
          </cell>
        </row>
        <row r="30">
          <cell r="E30">
            <v>2016</v>
          </cell>
          <cell r="R30">
            <v>247.70500000000001</v>
          </cell>
        </row>
        <row r="31">
          <cell r="E31">
            <v>2017</v>
          </cell>
          <cell r="R31">
            <v>254.738</v>
          </cell>
        </row>
        <row r="32">
          <cell r="E32">
            <v>2018</v>
          </cell>
          <cell r="R32">
            <v>263.26333333333332</v>
          </cell>
        </row>
        <row r="33">
          <cell r="E33">
            <v>2019</v>
          </cell>
          <cell r="R33">
            <v>270.34991666666662</v>
          </cell>
        </row>
        <row r="34">
          <cell r="E34">
            <v>2020</v>
          </cell>
          <cell r="R34">
            <v>275.05700000000002</v>
          </cell>
        </row>
        <row r="35">
          <cell r="E35">
            <v>2021</v>
          </cell>
          <cell r="R35">
            <v>287.49400000000003</v>
          </cell>
        </row>
        <row r="36">
          <cell r="E36">
            <v>2022</v>
          </cell>
          <cell r="R36">
            <v>310.50900000000001</v>
          </cell>
        </row>
        <row r="37">
          <cell r="E37">
            <v>2023</v>
          </cell>
          <cell r="R37">
            <v>323.834</v>
          </cell>
        </row>
        <row r="38">
          <cell r="E38">
            <v>2024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r.ca.gov/oprl/cpi/entireccpi.pdf" TargetMode="External"/><Relationship Id="rId2" Type="http://schemas.openxmlformats.org/officeDocument/2006/relationships/hyperlink" Target="https://www.bls.gov/cpi/research-series/r-cpi-u-rs-home.htm" TargetMode="External"/><Relationship Id="rId1" Type="http://schemas.openxmlformats.org/officeDocument/2006/relationships/hyperlink" Target="https://www.bls.gov/regions/west/news-release/consumerpriceindex_west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831A-DDC6-4E81-BE18-73D43D199F08}">
  <dimension ref="A1:B4"/>
  <sheetViews>
    <sheetView workbookViewId="0">
      <selection activeCell="B10" sqref="B10"/>
    </sheetView>
  </sheetViews>
  <sheetFormatPr defaultRowHeight="13" x14ac:dyDescent="0.3"/>
  <cols>
    <col min="1" max="1" width="12.19921875" bestFit="1" customWidth="1"/>
    <col min="2" max="2" width="100.3984375" bestFit="1" customWidth="1"/>
  </cols>
  <sheetData>
    <row r="1" spans="1:2" x14ac:dyDescent="0.3">
      <c r="A1" s="1" t="s">
        <v>9</v>
      </c>
      <c r="B1" s="1" t="s">
        <v>10</v>
      </c>
    </row>
    <row r="2" spans="1:2" x14ac:dyDescent="0.3">
      <c r="A2" s="3" t="s">
        <v>14</v>
      </c>
      <c r="B2" s="2" t="s">
        <v>13</v>
      </c>
    </row>
    <row r="3" spans="1:2" x14ac:dyDescent="0.3">
      <c r="A3" s="3" t="s">
        <v>11</v>
      </c>
      <c r="B3" s="2" t="s">
        <v>12</v>
      </c>
    </row>
    <row r="4" spans="1:2" x14ac:dyDescent="0.3">
      <c r="A4" t="s">
        <v>7</v>
      </c>
      <c r="B4" s="2" t="s">
        <v>8</v>
      </c>
    </row>
  </sheetData>
  <hyperlinks>
    <hyperlink ref="B4" r:id="rId1" display="https://www.bls.gov/regions/west/news-release/consumerpriceindex_west.htm" xr:uid="{D8F667EB-810B-4E4D-B18A-262BD6ADC76E}"/>
    <hyperlink ref="B3" r:id="rId2" display="https://www.bls.gov/cpi/research-series/r-cpi-u-rs-home.htm" xr:uid="{1B0A9FF6-7496-4497-B280-EF2A1867E315}"/>
    <hyperlink ref="B2" r:id="rId3" display="https://www.dir.ca.gov/oprl/cpi/entireccpi.pdf" xr:uid="{A9554C48-63E6-462A-B759-36E937456BE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D1C33-6ADD-4F8E-BC64-E68634ED55EB}">
  <dimension ref="A1:N70"/>
  <sheetViews>
    <sheetView tabSelected="1" workbookViewId="0">
      <selection activeCell="J25" sqref="J25"/>
    </sheetView>
  </sheetViews>
  <sheetFormatPr defaultRowHeight="13" x14ac:dyDescent="0.3"/>
  <cols>
    <col min="2" max="2" width="18.59765625" bestFit="1" customWidth="1"/>
    <col min="3" max="14" width="11.8984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</row>
    <row r="2" spans="1:14" x14ac:dyDescent="0.3">
      <c r="A2">
        <v>2023</v>
      </c>
      <c r="B2">
        <v>331.80399999999997</v>
      </c>
      <c r="C2">
        <f>$B$2/B2</f>
        <v>1</v>
      </c>
      <c r="D2">
        <f>$B$3/B2</f>
        <v>0.96208605080107534</v>
      </c>
      <c r="E2">
        <f>$B$4/B2</f>
        <v>0.89622487974828513</v>
      </c>
      <c r="F2">
        <f>$B$5/B2</f>
        <v>0.85989017612807572</v>
      </c>
    </row>
    <row r="3" spans="1:14" x14ac:dyDescent="0.3">
      <c r="A3">
        <v>2022</v>
      </c>
      <c r="B3">
        <v>319.22399999999999</v>
      </c>
      <c r="C3">
        <f t="shared" ref="C3:C66" si="0">$B$2/B3</f>
        <v>1.0394080645565495</v>
      </c>
      <c r="D3">
        <f t="shared" ref="D3:D66" si="1">$B$3/B3</f>
        <v>1</v>
      </c>
      <c r="E3">
        <f t="shared" ref="E3:E66" si="2">$B$4/B3</f>
        <v>0.9315433676665914</v>
      </c>
      <c r="F3">
        <f t="shared" ref="F3:F66" si="3">$B$5/B3</f>
        <v>0.89377678370047364</v>
      </c>
    </row>
    <row r="4" spans="1:14" x14ac:dyDescent="0.3">
      <c r="A4">
        <v>2021</v>
      </c>
      <c r="B4">
        <v>297.37099999999998</v>
      </c>
      <c r="C4">
        <f t="shared" si="0"/>
        <v>1.1157913851720578</v>
      </c>
      <c r="D4">
        <f t="shared" si="1"/>
        <v>1.0734873272780467</v>
      </c>
      <c r="E4">
        <f t="shared" si="2"/>
        <v>1</v>
      </c>
      <c r="F4">
        <f t="shared" si="3"/>
        <v>0.95945805071779033</v>
      </c>
    </row>
    <row r="5" spans="1:14" x14ac:dyDescent="0.3">
      <c r="A5">
        <v>2020</v>
      </c>
      <c r="B5">
        <v>285.315</v>
      </c>
      <c r="C5">
        <f t="shared" si="0"/>
        <v>1.1629392075425407</v>
      </c>
      <c r="D5">
        <f t="shared" si="1"/>
        <v>1.118847589506335</v>
      </c>
      <c r="E5">
        <f t="shared" si="2"/>
        <v>1.0422550514343796</v>
      </c>
      <c r="F5">
        <f t="shared" si="3"/>
        <v>1</v>
      </c>
    </row>
    <row r="6" spans="1:14" x14ac:dyDescent="0.3">
      <c r="A6">
        <v>2019</v>
      </c>
      <c r="B6">
        <v>280.63799999999998</v>
      </c>
      <c r="C6">
        <f t="shared" si="0"/>
        <v>1.1823202844946159</v>
      </c>
      <c r="D6">
        <f t="shared" si="1"/>
        <v>1.1374938532914289</v>
      </c>
      <c r="E6">
        <f t="shared" si="2"/>
        <v>1.0596248547951455</v>
      </c>
      <c r="F6">
        <f t="shared" si="3"/>
        <v>1.0166655976738717</v>
      </c>
    </row>
    <row r="7" spans="1:14" x14ac:dyDescent="0.3">
      <c r="A7">
        <v>2018</v>
      </c>
      <c r="B7">
        <v>272.51</v>
      </c>
      <c r="C7">
        <f t="shared" si="0"/>
        <v>1.2175846757917139</v>
      </c>
      <c r="D7">
        <f t="shared" si="1"/>
        <v>1.1714212322483579</v>
      </c>
      <c r="E7">
        <f t="shared" si="2"/>
        <v>1.0912296796447836</v>
      </c>
      <c r="F7">
        <f t="shared" si="3"/>
        <v>1.0469891013173829</v>
      </c>
    </row>
    <row r="8" spans="1:14" x14ac:dyDescent="0.3">
      <c r="A8">
        <v>2017</v>
      </c>
      <c r="B8">
        <v>262.80200000000002</v>
      </c>
      <c r="C8">
        <f t="shared" si="0"/>
        <v>1.2625626897816604</v>
      </c>
      <c r="D8">
        <f t="shared" si="1"/>
        <v>1.2146939521008211</v>
      </c>
      <c r="E8">
        <f t="shared" si="2"/>
        <v>1.1315400948242402</v>
      </c>
      <c r="F8">
        <f t="shared" si="3"/>
        <v>1.0856652536890889</v>
      </c>
    </row>
    <row r="9" spans="1:14" x14ac:dyDescent="0.3">
      <c r="A9">
        <v>2016</v>
      </c>
      <c r="B9">
        <v>255.303</v>
      </c>
      <c r="C9">
        <f t="shared" si="0"/>
        <v>1.2996478693944058</v>
      </c>
      <c r="D9">
        <f t="shared" si="1"/>
        <v>1.2503730860976956</v>
      </c>
      <c r="E9">
        <f t="shared" si="2"/>
        <v>1.1647767554631163</v>
      </c>
      <c r="F9">
        <f t="shared" si="3"/>
        <v>1.1175544353180338</v>
      </c>
    </row>
    <row r="10" spans="1:14" x14ac:dyDescent="0.3">
      <c r="A10">
        <v>2015</v>
      </c>
      <c r="B10">
        <v>249.666</v>
      </c>
      <c r="C10">
        <f t="shared" si="0"/>
        <v>1.3289915326876707</v>
      </c>
      <c r="D10">
        <f t="shared" si="1"/>
        <v>1.2786042152315493</v>
      </c>
      <c r="E10">
        <f t="shared" si="2"/>
        <v>1.1910752765694967</v>
      </c>
      <c r="F10">
        <f t="shared" si="3"/>
        <v>1.1427867631155224</v>
      </c>
    </row>
    <row r="11" spans="1:14" x14ac:dyDescent="0.3">
      <c r="A11">
        <v>2014</v>
      </c>
      <c r="B11">
        <v>246.05500000000001</v>
      </c>
      <c r="C11">
        <f t="shared" si="0"/>
        <v>1.3484952551258864</v>
      </c>
      <c r="D11">
        <f t="shared" si="1"/>
        <v>1.2973684745280525</v>
      </c>
      <c r="E11">
        <f t="shared" si="2"/>
        <v>1.2085549978663306</v>
      </c>
      <c r="F11">
        <f t="shared" si="3"/>
        <v>1.1595578224380727</v>
      </c>
    </row>
    <row r="12" spans="1:14" x14ac:dyDescent="0.3">
      <c r="A12">
        <v>2013</v>
      </c>
      <c r="B12">
        <v>241.62299999999999</v>
      </c>
      <c r="C12">
        <f t="shared" si="0"/>
        <v>1.3732301974563679</v>
      </c>
      <c r="D12">
        <f t="shared" si="1"/>
        <v>1.321165617511578</v>
      </c>
      <c r="E12">
        <f t="shared" si="2"/>
        <v>1.2307230685820472</v>
      </c>
      <c r="F12">
        <f t="shared" si="3"/>
        <v>1.1808271563551485</v>
      </c>
    </row>
    <row r="13" spans="1:14" x14ac:dyDescent="0.3">
      <c r="A13">
        <v>2012</v>
      </c>
      <c r="B13">
        <v>238.155</v>
      </c>
      <c r="C13">
        <f t="shared" si="0"/>
        <v>1.3932270999979004</v>
      </c>
      <c r="D13">
        <f t="shared" si="1"/>
        <v>1.340404358506015</v>
      </c>
      <c r="E13">
        <f t="shared" si="2"/>
        <v>1.2486447901576703</v>
      </c>
      <c r="F13">
        <f t="shared" si="3"/>
        <v>1.1980222964036027</v>
      </c>
    </row>
    <row r="14" spans="1:14" x14ac:dyDescent="0.3">
      <c r="A14">
        <v>2011</v>
      </c>
      <c r="B14">
        <v>232.93</v>
      </c>
      <c r="C14">
        <f t="shared" si="0"/>
        <v>1.4244794573477009</v>
      </c>
      <c r="D14">
        <f t="shared" si="1"/>
        <v>1.3704718155669084</v>
      </c>
      <c r="E14">
        <f t="shared" si="2"/>
        <v>1.2766539303653457</v>
      </c>
      <c r="F14">
        <f t="shared" si="3"/>
        <v>1.2248958914695403</v>
      </c>
    </row>
    <row r="15" spans="1:14" x14ac:dyDescent="0.3">
      <c r="A15">
        <v>2010</v>
      </c>
      <c r="B15">
        <v>226.91900000000001</v>
      </c>
      <c r="C15">
        <f t="shared" si="0"/>
        <v>1.4622133889185125</v>
      </c>
      <c r="D15">
        <f t="shared" si="1"/>
        <v>1.4067751047730688</v>
      </c>
      <c r="E15">
        <f t="shared" si="2"/>
        <v>1.3104720186498264</v>
      </c>
      <c r="F15">
        <f t="shared" si="3"/>
        <v>1.2573429285339701</v>
      </c>
    </row>
    <row r="16" spans="1:14" x14ac:dyDescent="0.3">
      <c r="A16">
        <v>2009</v>
      </c>
      <c r="B16">
        <v>224.11</v>
      </c>
      <c r="C16">
        <f t="shared" si="0"/>
        <v>1.4805408058542677</v>
      </c>
      <c r="D16">
        <f t="shared" si="1"/>
        <v>1.4244076569541742</v>
      </c>
      <c r="E16">
        <f t="shared" si="2"/>
        <v>1.3268975056891703</v>
      </c>
      <c r="F16">
        <f t="shared" si="3"/>
        <v>1.2731024943108293</v>
      </c>
    </row>
    <row r="17" spans="1:6" x14ac:dyDescent="0.3">
      <c r="A17">
        <v>2008</v>
      </c>
      <c r="B17">
        <v>224.80699999999999</v>
      </c>
      <c r="C17">
        <f t="shared" si="0"/>
        <v>1.4759504819689777</v>
      </c>
      <c r="D17">
        <f t="shared" si="1"/>
        <v>1.4199913703754776</v>
      </c>
      <c r="E17">
        <f t="shared" si="2"/>
        <v>1.3227835432170707</v>
      </c>
      <c r="F17">
        <f t="shared" si="3"/>
        <v>1.2691553198966226</v>
      </c>
    </row>
    <row r="18" spans="1:6" x14ac:dyDescent="0.3">
      <c r="A18">
        <v>2007</v>
      </c>
      <c r="B18">
        <v>217.42400000000001</v>
      </c>
      <c r="C18">
        <f t="shared" si="0"/>
        <v>1.5260688792405621</v>
      </c>
      <c r="D18">
        <f t="shared" si="1"/>
        <v>1.4682095812789755</v>
      </c>
      <c r="E18">
        <f t="shared" si="2"/>
        <v>1.3677008977849729</v>
      </c>
      <c r="F18">
        <f t="shared" si="3"/>
        <v>1.3122516373537418</v>
      </c>
    </row>
    <row r="19" spans="1:6" x14ac:dyDescent="0.3">
      <c r="A19">
        <v>2006</v>
      </c>
      <c r="B19">
        <v>210.5</v>
      </c>
      <c r="C19">
        <f t="shared" si="0"/>
        <v>1.5762660332541567</v>
      </c>
      <c r="D19">
        <f t="shared" si="1"/>
        <v>1.516503562945368</v>
      </c>
      <c r="E19">
        <f t="shared" si="2"/>
        <v>1.4126888361045129</v>
      </c>
      <c r="F19">
        <f t="shared" si="3"/>
        <v>1.35541567695962</v>
      </c>
    </row>
    <row r="20" spans="1:6" x14ac:dyDescent="0.3">
      <c r="A20">
        <v>2005</v>
      </c>
      <c r="B20">
        <v>202.6</v>
      </c>
      <c r="C20">
        <f t="shared" si="0"/>
        <v>1.6377295162882526</v>
      </c>
      <c r="D20">
        <f t="shared" si="1"/>
        <v>1.5756367226061205</v>
      </c>
      <c r="E20">
        <f t="shared" si="2"/>
        <v>1.4677739387956563</v>
      </c>
      <c r="F20">
        <f t="shared" si="3"/>
        <v>1.4082675222112537</v>
      </c>
    </row>
    <row r="21" spans="1:6" x14ac:dyDescent="0.3">
      <c r="A21">
        <v>2004</v>
      </c>
      <c r="B21">
        <v>195.4</v>
      </c>
      <c r="C21">
        <f t="shared" si="0"/>
        <v>1.6980757420675536</v>
      </c>
      <c r="D21">
        <f t="shared" si="1"/>
        <v>1.633694984646878</v>
      </c>
      <c r="E21">
        <f t="shared" si="2"/>
        <v>1.5218577277379732</v>
      </c>
      <c r="F21">
        <f t="shared" si="3"/>
        <v>1.4601586489252814</v>
      </c>
    </row>
    <row r="22" spans="1:6" x14ac:dyDescent="0.3">
      <c r="A22">
        <v>2003</v>
      </c>
      <c r="B22">
        <v>190.4</v>
      </c>
      <c r="C22">
        <f t="shared" si="0"/>
        <v>1.7426680672268906</v>
      </c>
      <c r="D22">
        <f t="shared" si="1"/>
        <v>1.676596638655462</v>
      </c>
      <c r="E22">
        <f t="shared" si="2"/>
        <v>1.5618224789915964</v>
      </c>
      <c r="F22">
        <f t="shared" si="3"/>
        <v>1.498503151260504</v>
      </c>
    </row>
    <row r="23" spans="1:6" x14ac:dyDescent="0.3">
      <c r="A23">
        <v>2002</v>
      </c>
      <c r="B23">
        <v>186.1</v>
      </c>
      <c r="C23">
        <f t="shared" si="0"/>
        <v>1.7829339065018805</v>
      </c>
      <c r="D23">
        <f t="shared" si="1"/>
        <v>1.715335840945728</v>
      </c>
      <c r="E23">
        <f t="shared" si="2"/>
        <v>1.5979097259537882</v>
      </c>
      <c r="F23">
        <f t="shared" si="3"/>
        <v>1.5331273508866201</v>
      </c>
    </row>
    <row r="24" spans="1:6" x14ac:dyDescent="0.3">
      <c r="A24">
        <v>2001</v>
      </c>
      <c r="B24">
        <v>181.7</v>
      </c>
      <c r="C24">
        <f t="shared" si="0"/>
        <v>1.8261089708310401</v>
      </c>
      <c r="D24">
        <f t="shared" si="1"/>
        <v>1.7568739680792516</v>
      </c>
      <c r="E24">
        <f t="shared" si="2"/>
        <v>1.6366042927903137</v>
      </c>
      <c r="F24">
        <f t="shared" si="3"/>
        <v>1.5702531645569622</v>
      </c>
    </row>
    <row r="25" spans="1:6" x14ac:dyDescent="0.3">
      <c r="A25">
        <v>2000</v>
      </c>
      <c r="B25">
        <v>174.8</v>
      </c>
      <c r="C25">
        <f t="shared" si="0"/>
        <v>1.8981922196796337</v>
      </c>
      <c r="D25">
        <f t="shared" si="1"/>
        <v>1.8262242562929061</v>
      </c>
      <c r="E25">
        <f t="shared" si="2"/>
        <v>1.70120709382151</v>
      </c>
      <c r="F25">
        <f t="shared" si="3"/>
        <v>1.6322368421052631</v>
      </c>
    </row>
    <row r="26" spans="1:6" x14ac:dyDescent="0.3">
      <c r="A26">
        <v>1999</v>
      </c>
      <c r="B26">
        <v>168.5</v>
      </c>
      <c r="C26">
        <f t="shared" si="0"/>
        <v>1.9691632047477743</v>
      </c>
      <c r="D26">
        <f t="shared" si="1"/>
        <v>1.8945044510385756</v>
      </c>
      <c r="E26">
        <f t="shared" si="2"/>
        <v>1.7648130563798219</v>
      </c>
      <c r="F26">
        <f t="shared" si="3"/>
        <v>1.6932640949554896</v>
      </c>
    </row>
    <row r="27" spans="1:6" x14ac:dyDescent="0.3">
      <c r="A27">
        <v>1998</v>
      </c>
      <c r="B27">
        <v>163.69999999999999</v>
      </c>
      <c r="C27">
        <f t="shared" si="0"/>
        <v>2.0269028711056811</v>
      </c>
      <c r="D27">
        <f t="shared" si="1"/>
        <v>1.9500549786194259</v>
      </c>
      <c r="E27">
        <f t="shared" si="2"/>
        <v>1.8165607819181429</v>
      </c>
      <c r="F27">
        <f t="shared" si="3"/>
        <v>1.7429138668295663</v>
      </c>
    </row>
    <row r="28" spans="1:6" x14ac:dyDescent="0.3">
      <c r="A28">
        <v>1997</v>
      </c>
      <c r="B28">
        <v>160.5</v>
      </c>
      <c r="C28">
        <f t="shared" si="0"/>
        <v>2.0673146417445483</v>
      </c>
      <c r="D28">
        <f t="shared" si="1"/>
        <v>1.9889345794392523</v>
      </c>
      <c r="E28">
        <f t="shared" si="2"/>
        <v>1.8527788161993768</v>
      </c>
      <c r="F28">
        <f t="shared" si="3"/>
        <v>1.777663551401869</v>
      </c>
    </row>
    <row r="29" spans="1:6" x14ac:dyDescent="0.3">
      <c r="A29">
        <v>1996</v>
      </c>
      <c r="B29">
        <v>157.1</v>
      </c>
      <c r="C29">
        <f t="shared" si="0"/>
        <v>2.1120560152768935</v>
      </c>
      <c r="D29">
        <f t="shared" si="1"/>
        <v>2.0319796308084022</v>
      </c>
      <c r="E29">
        <f t="shared" si="2"/>
        <v>1.8928771483131763</v>
      </c>
      <c r="F29">
        <f t="shared" si="3"/>
        <v>1.8161362189688097</v>
      </c>
    </row>
    <row r="30" spans="1:6" x14ac:dyDescent="0.3">
      <c r="A30">
        <v>1995</v>
      </c>
      <c r="B30">
        <v>154</v>
      </c>
      <c r="C30">
        <f t="shared" si="0"/>
        <v>2.1545714285714284</v>
      </c>
      <c r="D30">
        <f t="shared" si="1"/>
        <v>2.072883116883117</v>
      </c>
      <c r="E30">
        <f t="shared" si="2"/>
        <v>1.9309805194805194</v>
      </c>
      <c r="F30">
        <f t="shared" si="3"/>
        <v>1.8526948051948051</v>
      </c>
    </row>
    <row r="31" spans="1:6" x14ac:dyDescent="0.3">
      <c r="A31">
        <v>1994</v>
      </c>
      <c r="B31">
        <v>151.5</v>
      </c>
      <c r="C31">
        <f t="shared" si="0"/>
        <v>2.1901254125412541</v>
      </c>
      <c r="D31">
        <f t="shared" si="1"/>
        <v>2.1070891089108912</v>
      </c>
      <c r="E31">
        <f t="shared" si="2"/>
        <v>1.9628448844884487</v>
      </c>
      <c r="F31">
        <f t="shared" si="3"/>
        <v>1.8832673267326732</v>
      </c>
    </row>
    <row r="32" spans="1:6" x14ac:dyDescent="0.3">
      <c r="A32">
        <v>1993</v>
      </c>
      <c r="B32">
        <v>149.4</v>
      </c>
      <c r="C32">
        <f t="shared" si="0"/>
        <v>2.2209103078982593</v>
      </c>
      <c r="D32">
        <f t="shared" si="1"/>
        <v>2.1367068273092369</v>
      </c>
      <c r="E32">
        <f t="shared" si="2"/>
        <v>1.9904350736278444</v>
      </c>
      <c r="F32">
        <f t="shared" si="3"/>
        <v>1.9097389558232931</v>
      </c>
    </row>
    <row r="33" spans="1:6" x14ac:dyDescent="0.3">
      <c r="A33">
        <v>1992</v>
      </c>
      <c r="B33">
        <v>145.6</v>
      </c>
      <c r="C33">
        <f t="shared" si="0"/>
        <v>2.2788736263736262</v>
      </c>
      <c r="D33">
        <f t="shared" si="1"/>
        <v>2.1924725274725274</v>
      </c>
      <c r="E33">
        <f t="shared" si="2"/>
        <v>2.0423832417582415</v>
      </c>
      <c r="F33">
        <f t="shared" si="3"/>
        <v>1.9595810439560439</v>
      </c>
    </row>
    <row r="34" spans="1:6" x14ac:dyDescent="0.3">
      <c r="A34">
        <v>1991</v>
      </c>
      <c r="B34">
        <v>140.6</v>
      </c>
      <c r="C34">
        <f t="shared" si="0"/>
        <v>2.3599146514935989</v>
      </c>
      <c r="D34">
        <f t="shared" si="1"/>
        <v>2.2704409672830725</v>
      </c>
      <c r="E34">
        <f t="shared" si="2"/>
        <v>2.1150142247510666</v>
      </c>
      <c r="F34">
        <f t="shared" si="3"/>
        <v>2.0292674253200569</v>
      </c>
    </row>
    <row r="35" spans="1:6" x14ac:dyDescent="0.3">
      <c r="A35">
        <v>1990</v>
      </c>
      <c r="B35">
        <v>135</v>
      </c>
      <c r="C35">
        <f t="shared" si="0"/>
        <v>2.4578074074074072</v>
      </c>
      <c r="D35">
        <f t="shared" si="1"/>
        <v>2.3646222222222222</v>
      </c>
      <c r="E35">
        <f t="shared" si="2"/>
        <v>2.2027481481481481</v>
      </c>
      <c r="F35">
        <f t="shared" si="3"/>
        <v>2.1134444444444442</v>
      </c>
    </row>
    <row r="36" spans="1:6" x14ac:dyDescent="0.3">
      <c r="A36">
        <v>1989</v>
      </c>
      <c r="B36">
        <v>128</v>
      </c>
      <c r="C36">
        <f t="shared" si="0"/>
        <v>2.5922187499999998</v>
      </c>
      <c r="D36">
        <f t="shared" si="1"/>
        <v>2.4939374999999999</v>
      </c>
      <c r="E36">
        <f t="shared" si="2"/>
        <v>2.3232109374999999</v>
      </c>
      <c r="F36">
        <f t="shared" si="3"/>
        <v>2.2290234375</v>
      </c>
    </row>
    <row r="37" spans="1:6" x14ac:dyDescent="0.3">
      <c r="A37">
        <v>1988</v>
      </c>
      <c r="B37">
        <v>121.9</v>
      </c>
      <c r="C37">
        <f t="shared" si="0"/>
        <v>2.7219360131255126</v>
      </c>
      <c r="D37">
        <f t="shared" si="1"/>
        <v>2.6187366694011485</v>
      </c>
      <c r="E37">
        <f t="shared" si="2"/>
        <v>2.439466776045939</v>
      </c>
      <c r="F37">
        <f t="shared" si="3"/>
        <v>2.340566037735849</v>
      </c>
    </row>
    <row r="38" spans="1:6" x14ac:dyDescent="0.3">
      <c r="A38">
        <v>1987</v>
      </c>
      <c r="B38">
        <v>116.5</v>
      </c>
      <c r="C38">
        <f t="shared" si="0"/>
        <v>2.8481030042918452</v>
      </c>
      <c r="D38">
        <f t="shared" si="1"/>
        <v>2.7401201716738197</v>
      </c>
      <c r="E38">
        <f t="shared" si="2"/>
        <v>2.5525407725321885</v>
      </c>
      <c r="F38">
        <f t="shared" si="3"/>
        <v>2.4490557939914162</v>
      </c>
    </row>
    <row r="39" spans="1:6" x14ac:dyDescent="0.3">
      <c r="A39">
        <v>1986</v>
      </c>
      <c r="B39">
        <v>112</v>
      </c>
      <c r="C39">
        <f t="shared" si="0"/>
        <v>2.9625357142857141</v>
      </c>
      <c r="D39">
        <f t="shared" si="1"/>
        <v>2.8502142857142858</v>
      </c>
      <c r="E39">
        <f t="shared" si="2"/>
        <v>2.6550982142857142</v>
      </c>
      <c r="F39">
        <f t="shared" si="3"/>
        <v>2.5474553571428573</v>
      </c>
    </row>
    <row r="40" spans="1:6" x14ac:dyDescent="0.3">
      <c r="A40">
        <v>1985</v>
      </c>
      <c r="B40">
        <v>108.6</v>
      </c>
      <c r="C40">
        <f t="shared" si="0"/>
        <v>3.0552854511970535</v>
      </c>
      <c r="D40">
        <f t="shared" si="1"/>
        <v>2.939447513812155</v>
      </c>
      <c r="E40">
        <f t="shared" si="2"/>
        <v>2.7382228360957641</v>
      </c>
      <c r="F40">
        <f t="shared" si="3"/>
        <v>2.6272099447513813</v>
      </c>
    </row>
    <row r="41" spans="1:6" x14ac:dyDescent="0.3">
      <c r="A41">
        <v>1984</v>
      </c>
      <c r="B41">
        <v>103.8</v>
      </c>
      <c r="C41">
        <f t="shared" si="0"/>
        <v>3.1965703275529864</v>
      </c>
      <c r="D41">
        <f t="shared" si="1"/>
        <v>3.0753757225433525</v>
      </c>
      <c r="E41">
        <f t="shared" si="2"/>
        <v>2.8648458574181115</v>
      </c>
      <c r="F41">
        <f t="shared" si="3"/>
        <v>2.748699421965318</v>
      </c>
    </row>
    <row r="42" spans="1:6" x14ac:dyDescent="0.3">
      <c r="A42">
        <v>1983</v>
      </c>
      <c r="B42">
        <v>98.9</v>
      </c>
      <c r="C42">
        <f t="shared" si="0"/>
        <v>3.3549443882709804</v>
      </c>
      <c r="D42">
        <f t="shared" si="1"/>
        <v>3.2277451971688573</v>
      </c>
      <c r="E42">
        <f t="shared" si="2"/>
        <v>3.0067846309403432</v>
      </c>
      <c r="F42">
        <f t="shared" si="3"/>
        <v>2.8848837209302323</v>
      </c>
    </row>
    <row r="43" spans="1:6" x14ac:dyDescent="0.3">
      <c r="A43">
        <v>1982</v>
      </c>
      <c r="B43">
        <v>97.3</v>
      </c>
      <c r="C43">
        <f t="shared" si="0"/>
        <v>3.4101130524152103</v>
      </c>
      <c r="D43">
        <f t="shared" si="1"/>
        <v>3.2808221993833504</v>
      </c>
      <c r="E43">
        <f t="shared" si="2"/>
        <v>3.0562281603288795</v>
      </c>
      <c r="F43">
        <f t="shared" si="3"/>
        <v>2.9323227132579652</v>
      </c>
    </row>
    <row r="44" spans="1:6" x14ac:dyDescent="0.3">
      <c r="A44">
        <v>1981</v>
      </c>
      <c r="B44">
        <v>91.4</v>
      </c>
      <c r="C44">
        <f t="shared" si="0"/>
        <v>3.6302407002188177</v>
      </c>
      <c r="D44">
        <f t="shared" si="1"/>
        <v>3.492603938730853</v>
      </c>
      <c r="E44">
        <f t="shared" si="2"/>
        <v>3.2535120350109406</v>
      </c>
      <c r="F44">
        <f t="shared" si="3"/>
        <v>3.1216083150984679</v>
      </c>
    </row>
    <row r="45" spans="1:6" x14ac:dyDescent="0.3">
      <c r="A45">
        <v>1980</v>
      </c>
      <c r="B45">
        <v>82.4</v>
      </c>
      <c r="C45">
        <f t="shared" si="0"/>
        <v>4.0267475728155331</v>
      </c>
      <c r="D45">
        <f t="shared" si="1"/>
        <v>3.874077669902912</v>
      </c>
      <c r="E45">
        <f t="shared" si="2"/>
        <v>3.6088713592233006</v>
      </c>
      <c r="F45">
        <f t="shared" si="3"/>
        <v>3.4625606796116504</v>
      </c>
    </row>
    <row r="46" spans="1:6" x14ac:dyDescent="0.3">
      <c r="A46">
        <v>1979</v>
      </c>
      <c r="B46">
        <v>71.3</v>
      </c>
      <c r="C46">
        <f t="shared" si="0"/>
        <v>4.6536325385694246</v>
      </c>
      <c r="D46">
        <f t="shared" si="1"/>
        <v>4.4771949509116409</v>
      </c>
      <c r="E46">
        <f t="shared" si="2"/>
        <v>4.1707012622720896</v>
      </c>
      <c r="F46">
        <f t="shared" si="3"/>
        <v>4.0016129032258068</v>
      </c>
    </row>
    <row r="47" spans="1:6" x14ac:dyDescent="0.3">
      <c r="A47">
        <v>1978</v>
      </c>
      <c r="B47">
        <v>64.400000000000006</v>
      </c>
      <c r="C47">
        <f t="shared" si="0"/>
        <v>5.1522360248447194</v>
      </c>
      <c r="D47">
        <f t="shared" si="1"/>
        <v>4.9568944099378873</v>
      </c>
      <c r="E47">
        <f t="shared" si="2"/>
        <v>4.6175621118012415</v>
      </c>
      <c r="F47">
        <f t="shared" si="3"/>
        <v>4.430357142857142</v>
      </c>
    </row>
    <row r="48" spans="1:6" x14ac:dyDescent="0.3">
      <c r="A48">
        <v>1977</v>
      </c>
      <c r="B48">
        <v>59.5</v>
      </c>
      <c r="C48">
        <f t="shared" si="0"/>
        <v>5.5765378151260503</v>
      </c>
      <c r="D48">
        <f t="shared" si="1"/>
        <v>5.3651092436974785</v>
      </c>
      <c r="E48">
        <f t="shared" si="2"/>
        <v>4.9978319327731091</v>
      </c>
      <c r="F48">
        <f t="shared" si="3"/>
        <v>4.7952100840336138</v>
      </c>
    </row>
    <row r="49" spans="1:6" x14ac:dyDescent="0.3">
      <c r="A49">
        <v>1976</v>
      </c>
      <c r="B49">
        <v>55.6</v>
      </c>
      <c r="C49">
        <f t="shared" si="0"/>
        <v>5.9676978417266184</v>
      </c>
      <c r="D49">
        <f t="shared" si="1"/>
        <v>5.741438848920863</v>
      </c>
      <c r="E49">
        <f t="shared" si="2"/>
        <v>5.3483992805755394</v>
      </c>
      <c r="F49">
        <f t="shared" si="3"/>
        <v>5.1315647482014386</v>
      </c>
    </row>
    <row r="50" spans="1:6" x14ac:dyDescent="0.3">
      <c r="A50">
        <v>1975</v>
      </c>
      <c r="B50">
        <v>52.3</v>
      </c>
      <c r="C50">
        <f t="shared" si="0"/>
        <v>6.3442447418738048</v>
      </c>
      <c r="D50">
        <f t="shared" si="1"/>
        <v>6.1037093690248572</v>
      </c>
      <c r="E50">
        <f t="shared" si="2"/>
        <v>5.6858699808795414</v>
      </c>
      <c r="F50">
        <f t="shared" si="3"/>
        <v>5.4553537284894844</v>
      </c>
    </row>
    <row r="51" spans="1:6" x14ac:dyDescent="0.3">
      <c r="A51">
        <v>1974</v>
      </c>
      <c r="B51">
        <v>47.4</v>
      </c>
      <c r="C51">
        <f t="shared" si="0"/>
        <v>7.0000843881856536</v>
      </c>
      <c r="D51">
        <f t="shared" si="1"/>
        <v>6.7346835443037971</v>
      </c>
      <c r="E51">
        <f t="shared" si="2"/>
        <v>6.2736497890295357</v>
      </c>
      <c r="F51">
        <f t="shared" si="3"/>
        <v>6.0193037974683543</v>
      </c>
    </row>
    <row r="52" spans="1:6" x14ac:dyDescent="0.3">
      <c r="A52">
        <v>1973</v>
      </c>
      <c r="B52">
        <v>43</v>
      </c>
      <c r="C52">
        <f t="shared" si="0"/>
        <v>7.7163720930232556</v>
      </c>
      <c r="D52">
        <f t="shared" si="1"/>
        <v>7.4238139534883718</v>
      </c>
      <c r="E52">
        <f t="shared" si="2"/>
        <v>6.9156046511627904</v>
      </c>
      <c r="F52">
        <f t="shared" si="3"/>
        <v>6.6352325581395348</v>
      </c>
    </row>
    <row r="53" spans="1:6" x14ac:dyDescent="0.3">
      <c r="A53">
        <v>1972</v>
      </c>
      <c r="B53">
        <v>40.6</v>
      </c>
      <c r="C53">
        <f t="shared" si="0"/>
        <v>8.1725123152709358</v>
      </c>
      <c r="D53">
        <f t="shared" si="1"/>
        <v>7.8626600985221673</v>
      </c>
      <c r="E53">
        <f t="shared" si="2"/>
        <v>7.3244088669950731</v>
      </c>
      <c r="F53">
        <f t="shared" si="3"/>
        <v>7.0274630541871916</v>
      </c>
    </row>
    <row r="54" spans="1:6" x14ac:dyDescent="0.3">
      <c r="A54">
        <v>1971</v>
      </c>
      <c r="B54">
        <v>39.299999999999997</v>
      </c>
      <c r="C54">
        <f t="shared" si="0"/>
        <v>8.4428498727735377</v>
      </c>
      <c r="D54">
        <f t="shared" si="1"/>
        <v>8.1227480916030537</v>
      </c>
      <c r="E54">
        <f t="shared" si="2"/>
        <v>7.5666921119592878</v>
      </c>
      <c r="F54">
        <f t="shared" si="3"/>
        <v>7.2599236641221383</v>
      </c>
    </row>
    <row r="55" spans="1:6" x14ac:dyDescent="0.3">
      <c r="A55">
        <v>1970</v>
      </c>
      <c r="B55">
        <v>37.9</v>
      </c>
      <c r="C55">
        <f t="shared" si="0"/>
        <v>8.7547229551451178</v>
      </c>
      <c r="D55">
        <f t="shared" si="1"/>
        <v>8.4227968337730879</v>
      </c>
      <c r="E55">
        <f t="shared" si="2"/>
        <v>7.8462005277044851</v>
      </c>
      <c r="F55">
        <f t="shared" si="3"/>
        <v>7.5281002638522434</v>
      </c>
    </row>
    <row r="56" spans="1:6" x14ac:dyDescent="0.3">
      <c r="A56">
        <v>1969</v>
      </c>
      <c r="B56">
        <v>36.1</v>
      </c>
      <c r="C56">
        <f t="shared" si="0"/>
        <v>9.1912465373961201</v>
      </c>
      <c r="D56">
        <f t="shared" si="1"/>
        <v>8.8427700831024918</v>
      </c>
      <c r="E56">
        <f t="shared" si="2"/>
        <v>8.2374238227146801</v>
      </c>
      <c r="F56">
        <f t="shared" si="3"/>
        <v>7.9034626038781157</v>
      </c>
    </row>
    <row r="57" spans="1:6" x14ac:dyDescent="0.3">
      <c r="A57">
        <v>1968</v>
      </c>
      <c r="B57">
        <v>34.4</v>
      </c>
      <c r="C57">
        <f t="shared" si="0"/>
        <v>9.6454651162790697</v>
      </c>
      <c r="D57">
        <f t="shared" si="1"/>
        <v>9.2797674418604643</v>
      </c>
      <c r="E57">
        <f t="shared" si="2"/>
        <v>8.6445058139534883</v>
      </c>
      <c r="F57">
        <f t="shared" si="3"/>
        <v>8.2940406976744185</v>
      </c>
    </row>
    <row r="58" spans="1:6" x14ac:dyDescent="0.3">
      <c r="A58">
        <v>1967</v>
      </c>
      <c r="B58">
        <v>33</v>
      </c>
      <c r="C58">
        <f t="shared" si="0"/>
        <v>10.054666666666666</v>
      </c>
      <c r="D58">
        <f t="shared" si="1"/>
        <v>9.6734545454545451</v>
      </c>
      <c r="E58">
        <f t="shared" si="2"/>
        <v>9.0112424242424236</v>
      </c>
      <c r="F58">
        <f t="shared" si="3"/>
        <v>8.6459090909090914</v>
      </c>
    </row>
    <row r="59" spans="1:6" x14ac:dyDescent="0.3">
      <c r="A59">
        <v>1966</v>
      </c>
      <c r="B59">
        <v>32.200000000000003</v>
      </c>
      <c r="C59">
        <f t="shared" si="0"/>
        <v>10.304472049689439</v>
      </c>
      <c r="D59">
        <f t="shared" si="1"/>
        <v>9.9137888198757746</v>
      </c>
      <c r="E59">
        <f t="shared" si="2"/>
        <v>9.2351242236024831</v>
      </c>
      <c r="F59">
        <f t="shared" si="3"/>
        <v>8.860714285714284</v>
      </c>
    </row>
    <row r="60" spans="1:6" x14ac:dyDescent="0.3">
      <c r="A60">
        <v>1965</v>
      </c>
      <c r="B60">
        <v>31.5</v>
      </c>
      <c r="C60">
        <f t="shared" si="0"/>
        <v>10.533460317460317</v>
      </c>
      <c r="D60">
        <f t="shared" si="1"/>
        <v>10.134095238095238</v>
      </c>
      <c r="E60">
        <f t="shared" si="2"/>
        <v>9.4403492063492056</v>
      </c>
      <c r="F60">
        <f t="shared" si="3"/>
        <v>9.0576190476190472</v>
      </c>
    </row>
    <row r="61" spans="1:6" x14ac:dyDescent="0.3">
      <c r="A61">
        <v>1964</v>
      </c>
      <c r="B61">
        <v>31</v>
      </c>
      <c r="C61">
        <f t="shared" si="0"/>
        <v>10.703354838709677</v>
      </c>
      <c r="D61">
        <f t="shared" si="1"/>
        <v>10.297548387096773</v>
      </c>
      <c r="E61">
        <f t="shared" si="2"/>
        <v>9.5926129032258061</v>
      </c>
      <c r="F61">
        <f t="shared" si="3"/>
        <v>9.2037096774193543</v>
      </c>
    </row>
    <row r="62" spans="1:6" x14ac:dyDescent="0.3">
      <c r="A62">
        <v>1963</v>
      </c>
      <c r="B62">
        <v>30.4</v>
      </c>
      <c r="C62">
        <f t="shared" si="0"/>
        <v>10.914605263157894</v>
      </c>
      <c r="D62">
        <f t="shared" si="1"/>
        <v>10.500789473684211</v>
      </c>
      <c r="E62">
        <f t="shared" si="2"/>
        <v>9.7819407894736834</v>
      </c>
      <c r="F62">
        <f t="shared" si="3"/>
        <v>9.3853618421052634</v>
      </c>
    </row>
    <row r="63" spans="1:6" x14ac:dyDescent="0.3">
      <c r="A63">
        <v>1962</v>
      </c>
      <c r="B63">
        <v>29.9</v>
      </c>
      <c r="C63">
        <f t="shared" si="0"/>
        <v>11.097123745819397</v>
      </c>
      <c r="D63">
        <f t="shared" si="1"/>
        <v>10.67638795986622</v>
      </c>
      <c r="E63">
        <f t="shared" si="2"/>
        <v>9.945518394648829</v>
      </c>
      <c r="F63">
        <f t="shared" si="3"/>
        <v>9.542307692307693</v>
      </c>
    </row>
    <row r="64" spans="1:6" x14ac:dyDescent="0.3">
      <c r="A64">
        <v>1961</v>
      </c>
      <c r="B64">
        <v>29.5</v>
      </c>
      <c r="C64">
        <f t="shared" si="0"/>
        <v>11.247593220338983</v>
      </c>
      <c r="D64">
        <f t="shared" si="1"/>
        <v>10.82115254237288</v>
      </c>
      <c r="E64">
        <f t="shared" si="2"/>
        <v>10.080372881355931</v>
      </c>
      <c r="F64">
        <f t="shared" si="3"/>
        <v>9.6716949152542373</v>
      </c>
    </row>
    <row r="65" spans="1:6" x14ac:dyDescent="0.3">
      <c r="A65">
        <v>1960</v>
      </c>
      <c r="B65">
        <v>29.2</v>
      </c>
      <c r="C65">
        <f t="shared" si="0"/>
        <v>11.363150684931506</v>
      </c>
      <c r="D65">
        <f t="shared" si="1"/>
        <v>10.932328767123288</v>
      </c>
      <c r="E65">
        <f t="shared" si="2"/>
        <v>10.183938356164383</v>
      </c>
      <c r="F65">
        <f t="shared" si="3"/>
        <v>9.7710616438356173</v>
      </c>
    </row>
    <row r="66" spans="1:6" x14ac:dyDescent="0.3">
      <c r="A66">
        <v>1959</v>
      </c>
      <c r="B66">
        <v>28.6</v>
      </c>
      <c r="C66">
        <f t="shared" si="0"/>
        <v>11.60153846153846</v>
      </c>
      <c r="D66">
        <f t="shared" si="1"/>
        <v>11.161678321678322</v>
      </c>
      <c r="E66">
        <f t="shared" si="2"/>
        <v>10.397587412587411</v>
      </c>
      <c r="F66">
        <f t="shared" si="3"/>
        <v>9.9760489510489503</v>
      </c>
    </row>
    <row r="67" spans="1:6" x14ac:dyDescent="0.3">
      <c r="A67">
        <v>1958</v>
      </c>
      <c r="B67">
        <v>28.1</v>
      </c>
      <c r="C67">
        <f t="shared" ref="C67:C70" si="4">$B$2/B67</f>
        <v>11.807971530249109</v>
      </c>
      <c r="D67">
        <f t="shared" ref="D67:D70" si="5">$B$3/B67</f>
        <v>11.360284697508895</v>
      </c>
      <c r="E67">
        <f t="shared" ref="E67:E70" si="6">$B$4/B67</f>
        <v>10.582597864768681</v>
      </c>
      <c r="F67">
        <f t="shared" ref="F67:F70" si="7">$B$5/B67</f>
        <v>10.153558718861209</v>
      </c>
    </row>
    <row r="68" spans="1:6" x14ac:dyDescent="0.3">
      <c r="A68">
        <v>1957</v>
      </c>
      <c r="B68">
        <v>27.1</v>
      </c>
      <c r="C68">
        <f t="shared" si="4"/>
        <v>12.243690036900368</v>
      </c>
      <c r="D68">
        <f t="shared" si="5"/>
        <v>11.779483394833948</v>
      </c>
      <c r="E68">
        <f t="shared" si="6"/>
        <v>10.973099630996309</v>
      </c>
      <c r="F68">
        <f t="shared" si="7"/>
        <v>10.528228782287822</v>
      </c>
    </row>
    <row r="69" spans="1:6" x14ac:dyDescent="0.3">
      <c r="A69">
        <v>1956</v>
      </c>
      <c r="B69">
        <v>26.2</v>
      </c>
      <c r="C69">
        <f t="shared" si="4"/>
        <v>12.664274809160304</v>
      </c>
      <c r="D69">
        <f t="shared" si="5"/>
        <v>12.18412213740458</v>
      </c>
      <c r="E69">
        <f t="shared" si="6"/>
        <v>11.350038167938932</v>
      </c>
      <c r="F69">
        <f t="shared" si="7"/>
        <v>10.889885496183206</v>
      </c>
    </row>
    <row r="70" spans="1:6" x14ac:dyDescent="0.3">
      <c r="A70">
        <v>1955</v>
      </c>
      <c r="B70">
        <v>25.7</v>
      </c>
      <c r="C70">
        <f t="shared" si="4"/>
        <v>12.910661478599222</v>
      </c>
      <c r="D70">
        <f t="shared" si="5"/>
        <v>12.421167315175097</v>
      </c>
      <c r="E70">
        <f t="shared" si="6"/>
        <v>11.570856031128404</v>
      </c>
      <c r="F70">
        <f t="shared" si="7"/>
        <v>11.101750972762646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C5B2D-FC47-4B6F-A6DD-58F5C5C56F60}">
  <dimension ref="A1:N47"/>
  <sheetViews>
    <sheetView workbookViewId="0">
      <selection activeCell="H1" sqref="H1:H6"/>
    </sheetView>
  </sheetViews>
  <sheetFormatPr defaultRowHeight="13" x14ac:dyDescent="0.3"/>
  <sheetData>
    <row r="1" spans="1:14" x14ac:dyDescent="0.3">
      <c r="A1" s="1" t="s">
        <v>0</v>
      </c>
      <c r="B1" s="1" t="s">
        <v>6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</row>
    <row r="2" spans="1:14" x14ac:dyDescent="0.3">
      <c r="A2">
        <v>2023</v>
      </c>
      <c r="B2">
        <v>449.3</v>
      </c>
      <c r="C2">
        <f>$B$2/B2</f>
        <v>1</v>
      </c>
      <c r="D2">
        <f>$B$3/B2</f>
        <v>0.96038281771644773</v>
      </c>
      <c r="E2">
        <f t="shared" ref="E2:E3" si="0">$B$4/B2</f>
        <v>0.88849321166258621</v>
      </c>
      <c r="F2">
        <f t="shared" ref="F2:F4" si="1">$B$5/B2</f>
        <v>0.84754061874026265</v>
      </c>
    </row>
    <row r="3" spans="1:14" x14ac:dyDescent="0.3">
      <c r="A3">
        <v>2022</v>
      </c>
      <c r="B3">
        <v>431.5</v>
      </c>
      <c r="C3">
        <f t="shared" ref="C3:C47" si="2">$B$2/B3</f>
        <v>1.0412514484356894</v>
      </c>
      <c r="D3">
        <f>$B$3/B3</f>
        <v>1</v>
      </c>
      <c r="E3">
        <f t="shared" si="0"/>
        <v>0.92514484356894555</v>
      </c>
      <c r="F3">
        <f t="shared" si="1"/>
        <v>0.88250289687137895</v>
      </c>
    </row>
    <row r="4" spans="1:14" x14ac:dyDescent="0.3">
      <c r="A4">
        <v>2021</v>
      </c>
      <c r="B4">
        <v>399.2</v>
      </c>
      <c r="C4">
        <f t="shared" si="2"/>
        <v>1.1255010020040082</v>
      </c>
      <c r="D4">
        <f t="shared" ref="D4:D47" si="3">$B$3/B4</f>
        <v>1.0809118236472945</v>
      </c>
      <c r="E4">
        <f>$B$4/B4</f>
        <v>1</v>
      </c>
      <c r="F4">
        <f t="shared" si="1"/>
        <v>0.95390781563126259</v>
      </c>
    </row>
    <row r="5" spans="1:14" x14ac:dyDescent="0.3">
      <c r="A5">
        <v>2020</v>
      </c>
      <c r="B5">
        <v>380.8</v>
      </c>
      <c r="C5">
        <f t="shared" si="2"/>
        <v>1.1798844537815125</v>
      </c>
      <c r="D5">
        <f t="shared" si="3"/>
        <v>1.1331407563025209</v>
      </c>
      <c r="E5">
        <f t="shared" ref="E5:E47" si="4">$B$4/B5</f>
        <v>1.0483193277310923</v>
      </c>
      <c r="F5">
        <f>$B$5/B5</f>
        <v>1</v>
      </c>
    </row>
    <row r="6" spans="1:14" x14ac:dyDescent="0.3">
      <c r="A6">
        <v>2019</v>
      </c>
      <c r="B6">
        <v>375.8</v>
      </c>
      <c r="C6">
        <f t="shared" si="2"/>
        <v>1.1955827567855242</v>
      </c>
      <c r="D6">
        <f t="shared" si="3"/>
        <v>1.1482171367748801</v>
      </c>
      <c r="E6">
        <f t="shared" si="4"/>
        <v>1.0622671633847791</v>
      </c>
      <c r="F6">
        <f t="shared" ref="F6:F47" si="5">$B$5/B6</f>
        <v>1.0133049494411921</v>
      </c>
    </row>
    <row r="7" spans="1:14" x14ac:dyDescent="0.3">
      <c r="A7">
        <v>2018</v>
      </c>
      <c r="B7">
        <v>369.1</v>
      </c>
      <c r="C7">
        <f t="shared" si="2"/>
        <v>1.2172852885396912</v>
      </c>
      <c r="D7">
        <f t="shared" si="3"/>
        <v>1.1690598753725276</v>
      </c>
      <c r="E7">
        <f t="shared" si="4"/>
        <v>1.0815497155242482</v>
      </c>
      <c r="F7">
        <f t="shared" si="5"/>
        <v>1.031698726632349</v>
      </c>
    </row>
    <row r="8" spans="1:14" x14ac:dyDescent="0.3">
      <c r="A8">
        <v>2017</v>
      </c>
      <c r="B8">
        <v>360.3</v>
      </c>
      <c r="C8">
        <f t="shared" si="2"/>
        <v>1.2470163752428531</v>
      </c>
      <c r="D8">
        <f t="shared" si="3"/>
        <v>1.1976131001942825</v>
      </c>
      <c r="E8">
        <f t="shared" si="4"/>
        <v>1.1079655842353593</v>
      </c>
      <c r="F8">
        <f t="shared" si="5"/>
        <v>1.0568970302525673</v>
      </c>
    </row>
    <row r="9" spans="1:14" x14ac:dyDescent="0.3">
      <c r="A9">
        <v>2016</v>
      </c>
      <c r="B9">
        <v>352.8</v>
      </c>
      <c r="C9">
        <f t="shared" si="2"/>
        <v>1.2735260770975056</v>
      </c>
      <c r="D9">
        <f t="shared" si="3"/>
        <v>1.2230725623582765</v>
      </c>
      <c r="E9">
        <f t="shared" si="4"/>
        <v>1.1315192743764171</v>
      </c>
      <c r="F9">
        <f t="shared" si="5"/>
        <v>1.0793650793650793</v>
      </c>
    </row>
    <row r="10" spans="1:14" x14ac:dyDescent="0.3">
      <c r="A10">
        <v>2015</v>
      </c>
      <c r="B10">
        <v>348.3</v>
      </c>
      <c r="C10">
        <f t="shared" si="2"/>
        <v>1.2899799023830032</v>
      </c>
      <c r="D10">
        <f t="shared" si="3"/>
        <v>1.2388745334481768</v>
      </c>
      <c r="E10">
        <f t="shared" si="4"/>
        <v>1.146138386448464</v>
      </c>
      <c r="F10">
        <f t="shared" si="5"/>
        <v>1.0933103646281941</v>
      </c>
    </row>
    <row r="11" spans="1:14" x14ac:dyDescent="0.3">
      <c r="A11">
        <v>2014</v>
      </c>
      <c r="B11">
        <v>347.7</v>
      </c>
      <c r="C11">
        <f t="shared" si="2"/>
        <v>1.2922059246476849</v>
      </c>
      <c r="D11">
        <f t="shared" si="3"/>
        <v>1.2410123669830313</v>
      </c>
      <c r="E11">
        <f t="shared" si="4"/>
        <v>1.1481161921196434</v>
      </c>
      <c r="F11">
        <f t="shared" si="5"/>
        <v>1.0951970089157321</v>
      </c>
    </row>
    <row r="12" spans="1:14" x14ac:dyDescent="0.3">
      <c r="A12">
        <v>2013</v>
      </c>
      <c r="B12">
        <v>342</v>
      </c>
      <c r="C12">
        <f t="shared" si="2"/>
        <v>1.3137426900584797</v>
      </c>
      <c r="D12">
        <f t="shared" si="3"/>
        <v>1.2616959064327486</v>
      </c>
      <c r="E12">
        <f t="shared" si="4"/>
        <v>1.1672514619883041</v>
      </c>
      <c r="F12">
        <f t="shared" si="5"/>
        <v>1.1134502923976608</v>
      </c>
    </row>
    <row r="13" spans="1:14" x14ac:dyDescent="0.3">
      <c r="A13">
        <v>2012</v>
      </c>
      <c r="B13">
        <v>336.9</v>
      </c>
      <c r="C13">
        <f t="shared" si="2"/>
        <v>1.3336301573167113</v>
      </c>
      <c r="D13">
        <f t="shared" si="3"/>
        <v>1.2807954882754526</v>
      </c>
      <c r="E13">
        <f t="shared" si="4"/>
        <v>1.1849213416444049</v>
      </c>
      <c r="F13">
        <f t="shared" si="5"/>
        <v>1.1303057287028793</v>
      </c>
    </row>
    <row r="14" spans="1:14" x14ac:dyDescent="0.3">
      <c r="A14">
        <v>2011</v>
      </c>
      <c r="B14">
        <v>330</v>
      </c>
      <c r="C14">
        <f t="shared" si="2"/>
        <v>1.3615151515151516</v>
      </c>
      <c r="D14">
        <f t="shared" si="3"/>
        <v>1.3075757575757576</v>
      </c>
      <c r="E14">
        <f t="shared" si="4"/>
        <v>1.2096969696969697</v>
      </c>
      <c r="F14">
        <f t="shared" si="5"/>
        <v>1.153939393939394</v>
      </c>
    </row>
    <row r="15" spans="1:14" x14ac:dyDescent="0.3">
      <c r="A15">
        <v>2010</v>
      </c>
      <c r="B15">
        <v>319.8</v>
      </c>
      <c r="C15">
        <f t="shared" si="2"/>
        <v>1.404940587867417</v>
      </c>
      <c r="D15">
        <f t="shared" si="3"/>
        <v>1.3492808005003127</v>
      </c>
      <c r="E15">
        <f t="shared" si="4"/>
        <v>1.2482801751094432</v>
      </c>
      <c r="F15">
        <f t="shared" si="5"/>
        <v>1.1907442151344589</v>
      </c>
    </row>
    <row r="16" spans="1:14" x14ac:dyDescent="0.3">
      <c r="A16">
        <v>2009</v>
      </c>
      <c r="B16">
        <v>314.7</v>
      </c>
      <c r="C16">
        <f t="shared" si="2"/>
        <v>1.4277089291388625</v>
      </c>
      <c r="D16">
        <f t="shared" si="3"/>
        <v>1.371147124245313</v>
      </c>
      <c r="E16">
        <f t="shared" si="4"/>
        <v>1.2685096917699397</v>
      </c>
      <c r="F16">
        <f t="shared" si="5"/>
        <v>1.2100413091833493</v>
      </c>
    </row>
    <row r="17" spans="1:6" x14ac:dyDescent="0.3">
      <c r="A17">
        <v>2008</v>
      </c>
      <c r="B17">
        <v>315.8</v>
      </c>
      <c r="C17">
        <f t="shared" si="2"/>
        <v>1.4227359088030398</v>
      </c>
      <c r="D17">
        <f t="shared" si="3"/>
        <v>1.3663711209626346</v>
      </c>
      <c r="E17">
        <f t="shared" si="4"/>
        <v>1.2640911969601012</v>
      </c>
      <c r="F17">
        <f t="shared" si="5"/>
        <v>1.2058264724509182</v>
      </c>
    </row>
    <row r="18" spans="1:6" x14ac:dyDescent="0.3">
      <c r="A18">
        <v>2007</v>
      </c>
      <c r="B18">
        <v>304.10000000000002</v>
      </c>
      <c r="C18">
        <f t="shared" si="2"/>
        <v>1.4774745149621835</v>
      </c>
      <c r="D18">
        <f t="shared" si="3"/>
        <v>1.4189411377836236</v>
      </c>
      <c r="E18">
        <f t="shared" si="4"/>
        <v>1.3127260769483722</v>
      </c>
      <c r="F18">
        <f t="shared" si="5"/>
        <v>1.2522196645840185</v>
      </c>
    </row>
    <row r="19" spans="1:6" x14ac:dyDescent="0.3">
      <c r="A19">
        <v>2006</v>
      </c>
      <c r="B19">
        <v>295.7</v>
      </c>
      <c r="C19">
        <f t="shared" si="2"/>
        <v>1.519445383834968</v>
      </c>
      <c r="D19">
        <f t="shared" si="3"/>
        <v>1.459249239093676</v>
      </c>
      <c r="E19">
        <f t="shared" si="4"/>
        <v>1.3500169090294216</v>
      </c>
      <c r="F19">
        <f t="shared" si="5"/>
        <v>1.2877916807575247</v>
      </c>
    </row>
    <row r="20" spans="1:6" x14ac:dyDescent="0.3">
      <c r="A20">
        <v>2005</v>
      </c>
      <c r="B20">
        <v>286.39999999999998</v>
      </c>
      <c r="C20">
        <f t="shared" si="2"/>
        <v>1.5687849162011174</v>
      </c>
      <c r="D20">
        <f t="shared" si="3"/>
        <v>1.5066340782122907</v>
      </c>
      <c r="E20">
        <f t="shared" si="4"/>
        <v>1.3938547486033521</v>
      </c>
      <c r="F20">
        <f t="shared" si="5"/>
        <v>1.3296089385474861</v>
      </c>
    </row>
    <row r="21" spans="1:6" x14ac:dyDescent="0.3">
      <c r="A21">
        <v>2004</v>
      </c>
      <c r="B21">
        <v>277</v>
      </c>
      <c r="C21">
        <f t="shared" si="2"/>
        <v>1.6220216606498195</v>
      </c>
      <c r="D21">
        <f t="shared" si="3"/>
        <v>1.5577617328519855</v>
      </c>
      <c r="E21">
        <f t="shared" si="4"/>
        <v>1.4411552346570398</v>
      </c>
      <c r="F21">
        <f t="shared" si="5"/>
        <v>1.3747292418772563</v>
      </c>
    </row>
    <row r="22" spans="1:6" x14ac:dyDescent="0.3">
      <c r="A22">
        <v>2003</v>
      </c>
      <c r="B22">
        <v>269.8</v>
      </c>
      <c r="C22">
        <f t="shared" si="2"/>
        <v>1.6653076352853966</v>
      </c>
      <c r="D22">
        <f t="shared" si="3"/>
        <v>1.5993328391401038</v>
      </c>
      <c r="E22">
        <f t="shared" si="4"/>
        <v>1.4796145292809488</v>
      </c>
      <c r="F22">
        <f t="shared" si="5"/>
        <v>1.4114158636026686</v>
      </c>
    </row>
    <row r="23" spans="1:6" x14ac:dyDescent="0.3">
      <c r="A23">
        <v>2002</v>
      </c>
      <c r="B23">
        <v>263.8</v>
      </c>
      <c r="C23">
        <f t="shared" si="2"/>
        <v>1.7031842304776346</v>
      </c>
      <c r="D23">
        <f t="shared" si="3"/>
        <v>1.6357088703563305</v>
      </c>
      <c r="E23">
        <f t="shared" si="4"/>
        <v>1.5132676269901439</v>
      </c>
      <c r="F23">
        <f t="shared" si="5"/>
        <v>1.4435178165276725</v>
      </c>
    </row>
    <row r="24" spans="1:6" x14ac:dyDescent="0.3">
      <c r="A24">
        <v>2001</v>
      </c>
      <c r="B24">
        <v>259.7</v>
      </c>
      <c r="C24">
        <f t="shared" si="2"/>
        <v>1.7300731613400078</v>
      </c>
      <c r="D24">
        <f t="shared" si="3"/>
        <v>1.6615325375433192</v>
      </c>
      <c r="E24">
        <f t="shared" si="4"/>
        <v>1.5371582595302271</v>
      </c>
      <c r="F24">
        <f t="shared" si="5"/>
        <v>1.4663072776280324</v>
      </c>
    </row>
    <row r="25" spans="1:6" x14ac:dyDescent="0.3">
      <c r="A25">
        <v>2000</v>
      </c>
      <c r="B25">
        <v>252.5</v>
      </c>
      <c r="C25">
        <f t="shared" si="2"/>
        <v>1.7794059405940594</v>
      </c>
      <c r="D25">
        <f t="shared" si="3"/>
        <v>1.7089108910891089</v>
      </c>
      <c r="E25">
        <f t="shared" si="4"/>
        <v>1.5809900990099008</v>
      </c>
      <c r="F25">
        <f t="shared" si="5"/>
        <v>1.5081188118811881</v>
      </c>
    </row>
    <row r="26" spans="1:6" x14ac:dyDescent="0.3">
      <c r="A26">
        <v>1999</v>
      </c>
      <c r="B26">
        <v>244.2</v>
      </c>
      <c r="C26">
        <f t="shared" si="2"/>
        <v>1.8398853398853401</v>
      </c>
      <c r="D26">
        <f t="shared" si="3"/>
        <v>1.7669942669942671</v>
      </c>
      <c r="E26">
        <f t="shared" si="4"/>
        <v>1.6347256347256347</v>
      </c>
      <c r="F26">
        <f t="shared" si="5"/>
        <v>1.5593775593775594</v>
      </c>
    </row>
    <row r="27" spans="1:6" x14ac:dyDescent="0.3">
      <c r="A27">
        <v>1998</v>
      </c>
      <c r="B27">
        <v>239.2</v>
      </c>
      <c r="C27">
        <f t="shared" si="2"/>
        <v>1.8783444816053514</v>
      </c>
      <c r="D27">
        <f t="shared" si="3"/>
        <v>1.8039297658862876</v>
      </c>
      <c r="E27">
        <f t="shared" si="4"/>
        <v>1.6688963210702341</v>
      </c>
      <c r="F27">
        <f t="shared" si="5"/>
        <v>1.5919732441471572</v>
      </c>
    </row>
    <row r="28" spans="1:6" x14ac:dyDescent="0.3">
      <c r="A28">
        <v>1997</v>
      </c>
      <c r="B28">
        <v>236</v>
      </c>
      <c r="C28">
        <f t="shared" si="2"/>
        <v>1.903813559322034</v>
      </c>
      <c r="D28">
        <f t="shared" si="3"/>
        <v>1.8283898305084745</v>
      </c>
      <c r="E28">
        <f t="shared" si="4"/>
        <v>1.6915254237288135</v>
      </c>
      <c r="F28">
        <f t="shared" si="5"/>
        <v>1.6135593220338984</v>
      </c>
    </row>
    <row r="29" spans="1:6" x14ac:dyDescent="0.3">
      <c r="A29">
        <v>1996</v>
      </c>
      <c r="B29">
        <v>231</v>
      </c>
      <c r="C29">
        <f t="shared" si="2"/>
        <v>1.9450216450216451</v>
      </c>
      <c r="D29">
        <f t="shared" si="3"/>
        <v>1.8679653679653681</v>
      </c>
      <c r="E29">
        <f t="shared" si="4"/>
        <v>1.7281385281385282</v>
      </c>
      <c r="F29">
        <f t="shared" si="5"/>
        <v>1.6484848484848484</v>
      </c>
    </row>
    <row r="30" spans="1:6" x14ac:dyDescent="0.3">
      <c r="A30">
        <v>1995</v>
      </c>
      <c r="B30">
        <v>225</v>
      </c>
      <c r="C30">
        <f t="shared" si="2"/>
        <v>1.9968888888888889</v>
      </c>
      <c r="D30">
        <f t="shared" si="3"/>
        <v>1.9177777777777778</v>
      </c>
      <c r="E30">
        <f t="shared" si="4"/>
        <v>1.7742222222222221</v>
      </c>
      <c r="F30">
        <f t="shared" si="5"/>
        <v>1.6924444444444444</v>
      </c>
    </row>
    <row r="31" spans="1:6" x14ac:dyDescent="0.3">
      <c r="A31">
        <v>1994</v>
      </c>
      <c r="B31">
        <v>219.7</v>
      </c>
      <c r="C31">
        <f t="shared" si="2"/>
        <v>2.0450614474283113</v>
      </c>
      <c r="D31">
        <f t="shared" si="3"/>
        <v>1.964041875284479</v>
      </c>
      <c r="E31">
        <f t="shared" si="4"/>
        <v>1.8170232134729176</v>
      </c>
      <c r="F31">
        <f t="shared" si="5"/>
        <v>1.7332726445152482</v>
      </c>
    </row>
    <row r="32" spans="1:6" x14ac:dyDescent="0.3">
      <c r="A32">
        <v>1993</v>
      </c>
      <c r="B32">
        <v>215.2</v>
      </c>
      <c r="C32">
        <f t="shared" si="2"/>
        <v>2.087825278810409</v>
      </c>
      <c r="D32">
        <f t="shared" si="3"/>
        <v>2.0051115241635689</v>
      </c>
      <c r="E32">
        <f t="shared" si="4"/>
        <v>1.8550185873605949</v>
      </c>
      <c r="F32">
        <f t="shared" si="5"/>
        <v>1.7695167286245355</v>
      </c>
    </row>
    <row r="33" spans="1:6" x14ac:dyDescent="0.3">
      <c r="A33">
        <v>1992</v>
      </c>
      <c r="B33">
        <v>209.9</v>
      </c>
      <c r="C33">
        <f t="shared" si="2"/>
        <v>2.1405431157694141</v>
      </c>
      <c r="D33">
        <f t="shared" si="3"/>
        <v>2.0557408289661745</v>
      </c>
      <c r="E33">
        <f t="shared" si="4"/>
        <v>1.9018580276322057</v>
      </c>
      <c r="F33">
        <f t="shared" si="5"/>
        <v>1.8141972367794188</v>
      </c>
    </row>
    <row r="34" spans="1:6" x14ac:dyDescent="0.3">
      <c r="A34">
        <v>1991</v>
      </c>
      <c r="B34">
        <v>204.8</v>
      </c>
      <c r="C34">
        <f t="shared" si="2"/>
        <v>2.19384765625</v>
      </c>
      <c r="D34">
        <f t="shared" si="3"/>
        <v>2.10693359375</v>
      </c>
      <c r="E34">
        <f t="shared" si="4"/>
        <v>1.9492187499999998</v>
      </c>
      <c r="F34">
        <f t="shared" si="5"/>
        <v>1.859375</v>
      </c>
    </row>
    <row r="35" spans="1:6" x14ac:dyDescent="0.3">
      <c r="A35">
        <v>1990</v>
      </c>
      <c r="B35">
        <v>197.6</v>
      </c>
      <c r="C35">
        <f t="shared" si="2"/>
        <v>2.2737854251012148</v>
      </c>
      <c r="D35">
        <f t="shared" si="3"/>
        <v>2.1837044534412957</v>
      </c>
      <c r="E35">
        <f t="shared" si="4"/>
        <v>2.0202429149797569</v>
      </c>
      <c r="F35">
        <f t="shared" si="5"/>
        <v>1.9271255060728747</v>
      </c>
    </row>
    <row r="36" spans="1:6" x14ac:dyDescent="0.3">
      <c r="A36">
        <v>1989</v>
      </c>
      <c r="B36">
        <v>188.3</v>
      </c>
      <c r="C36">
        <f t="shared" si="2"/>
        <v>2.3860860329261815</v>
      </c>
      <c r="D36">
        <f t="shared" si="3"/>
        <v>2.2915560276155071</v>
      </c>
      <c r="E36">
        <f t="shared" si="4"/>
        <v>2.1200212426978222</v>
      </c>
      <c r="F36">
        <f t="shared" si="5"/>
        <v>2.0223048327137545</v>
      </c>
    </row>
    <row r="37" spans="1:6" x14ac:dyDescent="0.3">
      <c r="A37">
        <v>1988</v>
      </c>
      <c r="B37">
        <v>180.5</v>
      </c>
      <c r="C37">
        <f t="shared" si="2"/>
        <v>2.4891966759002773</v>
      </c>
      <c r="D37">
        <f t="shared" si="3"/>
        <v>2.3905817174515236</v>
      </c>
      <c r="E37">
        <f t="shared" si="4"/>
        <v>2.2116343490304708</v>
      </c>
      <c r="F37">
        <f t="shared" si="5"/>
        <v>2.1096952908587259</v>
      </c>
    </row>
    <row r="38" spans="1:6" x14ac:dyDescent="0.3">
      <c r="A38">
        <v>1987</v>
      </c>
      <c r="B38">
        <v>174.1</v>
      </c>
      <c r="C38">
        <f t="shared" si="2"/>
        <v>2.5807007466973007</v>
      </c>
      <c r="D38">
        <f t="shared" si="3"/>
        <v>2.4784606547960943</v>
      </c>
      <c r="E38">
        <f t="shared" si="4"/>
        <v>2.2929350947731191</v>
      </c>
      <c r="F38">
        <f t="shared" si="5"/>
        <v>2.1872487076392879</v>
      </c>
    </row>
    <row r="39" spans="1:6" x14ac:dyDescent="0.3">
      <c r="A39">
        <v>1986</v>
      </c>
      <c r="B39">
        <v>168.4</v>
      </c>
      <c r="C39">
        <f t="shared" si="2"/>
        <v>2.6680522565320666</v>
      </c>
      <c r="D39">
        <f t="shared" si="3"/>
        <v>2.5623515439429929</v>
      </c>
      <c r="E39">
        <f t="shared" si="4"/>
        <v>2.3705463182897861</v>
      </c>
      <c r="F39">
        <f t="shared" si="5"/>
        <v>2.2612826603325415</v>
      </c>
    </row>
    <row r="40" spans="1:6" x14ac:dyDescent="0.3">
      <c r="A40">
        <v>1985</v>
      </c>
      <c r="B40">
        <v>165.6</v>
      </c>
      <c r="C40">
        <f t="shared" si="2"/>
        <v>2.7131642512077296</v>
      </c>
      <c r="D40">
        <f t="shared" si="3"/>
        <v>2.6056763285024154</v>
      </c>
      <c r="E40">
        <f t="shared" si="4"/>
        <v>2.4106280193236715</v>
      </c>
      <c r="F40">
        <f t="shared" si="5"/>
        <v>2.2995169082125604</v>
      </c>
    </row>
    <row r="41" spans="1:6" x14ac:dyDescent="0.3">
      <c r="A41">
        <v>1984</v>
      </c>
      <c r="B41">
        <v>160.19999999999999</v>
      </c>
      <c r="C41">
        <f t="shared" si="2"/>
        <v>2.8046192259675409</v>
      </c>
      <c r="D41">
        <f t="shared" si="3"/>
        <v>2.6935081148564297</v>
      </c>
      <c r="E41">
        <f t="shared" si="4"/>
        <v>2.4918851435705371</v>
      </c>
      <c r="F41">
        <f t="shared" si="5"/>
        <v>2.3770287141073658</v>
      </c>
    </row>
    <row r="42" spans="1:6" x14ac:dyDescent="0.3">
      <c r="A42">
        <v>1983</v>
      </c>
      <c r="B42">
        <v>153.80000000000001</v>
      </c>
      <c r="C42">
        <f t="shared" si="2"/>
        <v>2.9213263979193758</v>
      </c>
      <c r="D42">
        <f t="shared" si="3"/>
        <v>2.8055916775032506</v>
      </c>
      <c r="E42">
        <f t="shared" si="4"/>
        <v>2.5955786736020805</v>
      </c>
      <c r="F42">
        <f t="shared" si="5"/>
        <v>2.4759427828348501</v>
      </c>
    </row>
    <row r="43" spans="1:6" x14ac:dyDescent="0.3">
      <c r="A43">
        <v>1982</v>
      </c>
      <c r="B43">
        <v>147.5</v>
      </c>
      <c r="C43">
        <f t="shared" si="2"/>
        <v>3.0461016949152544</v>
      </c>
      <c r="D43">
        <f t="shared" si="3"/>
        <v>2.9254237288135592</v>
      </c>
      <c r="E43">
        <f t="shared" si="4"/>
        <v>2.7064406779661017</v>
      </c>
      <c r="F43">
        <f t="shared" si="5"/>
        <v>2.5816949152542374</v>
      </c>
    </row>
    <row r="44" spans="1:6" x14ac:dyDescent="0.3">
      <c r="A44">
        <v>1981</v>
      </c>
      <c r="B44">
        <v>139.1</v>
      </c>
      <c r="C44">
        <f t="shared" si="2"/>
        <v>3.2300503235082676</v>
      </c>
      <c r="D44">
        <f t="shared" si="3"/>
        <v>3.1020848310567937</v>
      </c>
      <c r="E44">
        <f t="shared" si="4"/>
        <v>2.8698777857656363</v>
      </c>
      <c r="F44">
        <f t="shared" si="5"/>
        <v>2.7375988497483825</v>
      </c>
    </row>
    <row r="45" spans="1:6" x14ac:dyDescent="0.3">
      <c r="A45">
        <v>1980</v>
      </c>
      <c r="B45">
        <v>127.1</v>
      </c>
      <c r="C45">
        <f t="shared" si="2"/>
        <v>3.5350118017309207</v>
      </c>
      <c r="D45">
        <f t="shared" si="3"/>
        <v>3.3949645948072384</v>
      </c>
      <c r="E45">
        <f t="shared" si="4"/>
        <v>3.1408339889850514</v>
      </c>
      <c r="F45">
        <f t="shared" si="5"/>
        <v>2.996066089693155</v>
      </c>
    </row>
    <row r="46" spans="1:6" x14ac:dyDescent="0.3">
      <c r="A46">
        <v>1979</v>
      </c>
      <c r="B46">
        <v>114.3</v>
      </c>
      <c r="C46">
        <f t="shared" si="2"/>
        <v>3.930883639545057</v>
      </c>
      <c r="D46">
        <f t="shared" si="3"/>
        <v>3.7751531058617673</v>
      </c>
      <c r="E46">
        <f t="shared" si="4"/>
        <v>3.4925634295713035</v>
      </c>
      <c r="F46">
        <f t="shared" si="5"/>
        <v>3.3315835520559931</v>
      </c>
    </row>
    <row r="47" spans="1:6" x14ac:dyDescent="0.3">
      <c r="A47">
        <v>1978</v>
      </c>
      <c r="B47">
        <v>104.4</v>
      </c>
      <c r="C47">
        <f t="shared" si="2"/>
        <v>4.3036398467432946</v>
      </c>
      <c r="D47">
        <f t="shared" si="3"/>
        <v>4.133141762452107</v>
      </c>
      <c r="E47">
        <f t="shared" si="4"/>
        <v>3.8237547892720305</v>
      </c>
      <c r="F47">
        <f t="shared" si="5"/>
        <v>3.647509578544061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F9ED9-28E1-4BE7-8184-11175FEC6A7E}">
  <dimension ref="A1:N27"/>
  <sheetViews>
    <sheetView zoomScale="85" zoomScaleNormal="85" workbookViewId="0">
      <selection activeCell="I2" sqref="I2"/>
    </sheetView>
  </sheetViews>
  <sheetFormatPr defaultRowHeight="13" x14ac:dyDescent="0.3"/>
  <cols>
    <col min="1" max="6" width="12.8984375" customWidth="1"/>
  </cols>
  <sheetData>
    <row r="1" spans="1:14" x14ac:dyDescent="0.3">
      <c r="A1" s="1" t="s">
        <v>0</v>
      </c>
      <c r="B1" s="1" t="s">
        <v>6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</row>
    <row r="2" spans="1:14" x14ac:dyDescent="0.3">
      <c r="A2">
        <v>2023</v>
      </c>
      <c r="B2" cm="1">
        <f t="array" ref="B2">INDEX('[1]monthly cpi west'!R$12:R$37, MATCH(A2,'[1]monthly cpi west'!E$12:E$38, 0), 0)</f>
        <v>323.834</v>
      </c>
      <c r="C2">
        <f>$B$2/B2</f>
        <v>1</v>
      </c>
      <c r="D2">
        <f>$B$3/B2</f>
        <v>0.95885237498224407</v>
      </c>
      <c r="E2">
        <f t="shared" ref="E2:E3" si="0">$B$4/B2</f>
        <v>0.88778201177146321</v>
      </c>
      <c r="F2">
        <f t="shared" ref="F2:F4" si="1">$B$5/B2</f>
        <v>0.84937653242093181</v>
      </c>
    </row>
    <row r="3" spans="1:14" x14ac:dyDescent="0.3">
      <c r="A3">
        <v>2022</v>
      </c>
      <c r="B3" cm="1">
        <f t="array" ref="B3">INDEX('[1]monthly cpi west'!R$12:R$37, MATCH(A3,'[1]monthly cpi west'!E$12:E$38, 0), 0)</f>
        <v>310.50900000000001</v>
      </c>
      <c r="C3">
        <f t="shared" ref="C3:C27" si="2">$B$2/B3</f>
        <v>1.0429134099172648</v>
      </c>
      <c r="D3">
        <f>$B$3/B3</f>
        <v>1</v>
      </c>
      <c r="E3">
        <f t="shared" si="0"/>
        <v>0.92587976515978609</v>
      </c>
      <c r="F3">
        <f t="shared" si="1"/>
        <v>0.88582617573081623</v>
      </c>
    </row>
    <row r="4" spans="1:14" x14ac:dyDescent="0.3">
      <c r="A4">
        <v>2021</v>
      </c>
      <c r="B4" cm="1">
        <f t="array" ref="B4">INDEX('[1]monthly cpi west'!R$12:R$37, MATCH(A4,'[1]monthly cpi west'!E$12:E$38, 0), 0)</f>
        <v>287.49400000000003</v>
      </c>
      <c r="C4">
        <f t="shared" si="2"/>
        <v>1.1264026379680967</v>
      </c>
      <c r="D4">
        <f t="shared" ref="D4:D27" si="3">$B$3/B4</f>
        <v>1.0800538446019743</v>
      </c>
      <c r="E4">
        <f>$B$4/B4</f>
        <v>1</v>
      </c>
      <c r="F4">
        <f t="shared" si="1"/>
        <v>0.95673996674713213</v>
      </c>
    </row>
    <row r="5" spans="1:14" x14ac:dyDescent="0.3">
      <c r="A5">
        <v>2020</v>
      </c>
      <c r="B5" cm="1">
        <f t="array" ref="B5">INDEX('[1]monthly cpi west'!R$12:R$37, MATCH(A5,'[1]monthly cpi west'!E$12:E$38, 0), 0)</f>
        <v>275.05700000000002</v>
      </c>
      <c r="C5">
        <f t="shared" si="2"/>
        <v>1.1773341525574699</v>
      </c>
      <c r="D5">
        <f t="shared" si="3"/>
        <v>1.1288896483274375</v>
      </c>
      <c r="E5">
        <f t="shared" ref="E5:E27" si="4">$B$4/B5</f>
        <v>1.0452160824847214</v>
      </c>
      <c r="F5">
        <f>$B$5/B5</f>
        <v>1</v>
      </c>
    </row>
    <row r="6" spans="1:14" x14ac:dyDescent="0.3">
      <c r="A6">
        <v>2019</v>
      </c>
      <c r="B6" cm="1">
        <f t="array" ref="B6">INDEX('[1]monthly cpi west'!R$12:R$37, MATCH(A6,'[1]monthly cpi west'!E$12:E$38, 0), 0)</f>
        <v>270.34991666666662</v>
      </c>
      <c r="C6">
        <f t="shared" si="2"/>
        <v>1.1978328086532302</v>
      </c>
      <c r="D6">
        <f t="shared" si="3"/>
        <v>1.1485448334088015</v>
      </c>
      <c r="E6">
        <f t="shared" si="4"/>
        <v>1.0634144206320268</v>
      </c>
      <c r="F6">
        <f t="shared" ref="F6:F27" si="5">$B$5/B6</f>
        <v>1.017411077433906</v>
      </c>
    </row>
    <row r="7" spans="1:14" x14ac:dyDescent="0.3">
      <c r="A7">
        <v>2018</v>
      </c>
      <c r="B7" cm="1">
        <f t="array" ref="B7">INDEX('[1]monthly cpi west'!R$12:R$37, MATCH(A7,'[1]monthly cpi west'!E$12:E$38, 0), 0)</f>
        <v>263.26333333333332</v>
      </c>
      <c r="C7">
        <f t="shared" si="2"/>
        <v>1.2300763494093367</v>
      </c>
      <c r="D7">
        <f t="shared" si="3"/>
        <v>1.1794616290406312</v>
      </c>
      <c r="E7">
        <f t="shared" si="4"/>
        <v>1.0920396561111183</v>
      </c>
      <c r="F7">
        <f t="shared" si="5"/>
        <v>1.0447979842743009</v>
      </c>
    </row>
    <row r="8" spans="1:14" x14ac:dyDescent="0.3">
      <c r="A8">
        <v>2017</v>
      </c>
      <c r="B8" cm="1">
        <f t="array" ref="B8">INDEX('[1]monthly cpi west'!R$12:R$37, MATCH(A8,'[1]monthly cpi west'!E$12:E$38, 0), 0)</f>
        <v>254.738</v>
      </c>
      <c r="C8">
        <f t="shared" si="2"/>
        <v>1.27124339517465</v>
      </c>
      <c r="D8">
        <f t="shared" si="3"/>
        <v>1.2189347486437045</v>
      </c>
      <c r="E8">
        <f t="shared" si="4"/>
        <v>1.1285870188193361</v>
      </c>
      <c r="F8">
        <f t="shared" si="5"/>
        <v>1.0797643068564564</v>
      </c>
    </row>
    <row r="9" spans="1:14" x14ac:dyDescent="0.3">
      <c r="A9">
        <v>2016</v>
      </c>
      <c r="B9" cm="1">
        <f t="array" ref="B9">INDEX('[1]monthly cpi west'!R$12:R$37, MATCH(A9,'[1]monthly cpi west'!E$12:E$38, 0), 0)</f>
        <v>247.70500000000001</v>
      </c>
      <c r="C9">
        <f t="shared" si="2"/>
        <v>1.3073373569366786</v>
      </c>
      <c r="D9">
        <f t="shared" si="3"/>
        <v>1.2535435296017441</v>
      </c>
      <c r="E9">
        <f t="shared" si="4"/>
        <v>1.1606305888052322</v>
      </c>
      <c r="F9">
        <f t="shared" si="5"/>
        <v>1.1104216709392221</v>
      </c>
    </row>
    <row r="10" spans="1:14" x14ac:dyDescent="0.3">
      <c r="A10">
        <v>2015</v>
      </c>
      <c r="B10" cm="1">
        <f t="array" ref="B10">INDEX('[1]monthly cpi west'!R$12:R$37, MATCH(A10,'[1]monthly cpi west'!E$12:E$38, 0), 0)</f>
        <v>243.01499999999999</v>
      </c>
      <c r="C10">
        <f t="shared" si="2"/>
        <v>1.3325679484805466</v>
      </c>
      <c r="D10">
        <f t="shared" si="3"/>
        <v>1.2777359422257886</v>
      </c>
      <c r="E10">
        <f t="shared" si="4"/>
        <v>1.1830298541242312</v>
      </c>
      <c r="F10">
        <f t="shared" si="5"/>
        <v>1.1318519432956815</v>
      </c>
    </row>
    <row r="11" spans="1:14" x14ac:dyDescent="0.3">
      <c r="A11">
        <v>2014</v>
      </c>
      <c r="B11" cm="1">
        <f t="array" ref="B11">INDEX('[1]monthly cpi west'!R$12:R$37, MATCH(A11,'[1]monthly cpi west'!E$12:E$38, 0), 0)</f>
        <v>240.215</v>
      </c>
      <c r="C11">
        <f t="shared" si="2"/>
        <v>1.3481006598255729</v>
      </c>
      <c r="D11">
        <f t="shared" si="3"/>
        <v>1.2926295193888808</v>
      </c>
      <c r="E11">
        <f t="shared" si="4"/>
        <v>1.196819515850384</v>
      </c>
      <c r="F11">
        <f t="shared" si="5"/>
        <v>1.1450450637970153</v>
      </c>
    </row>
    <row r="12" spans="1:14" x14ac:dyDescent="0.3">
      <c r="A12">
        <v>2013</v>
      </c>
      <c r="B12" cm="1">
        <f t="array" ref="B12">INDEX('[1]monthly cpi west'!R$12:R$37, MATCH(A12,'[1]monthly cpi west'!E$12:E$38, 0), 0)</f>
        <v>235.82400000000001</v>
      </c>
      <c r="C12">
        <f t="shared" si="2"/>
        <v>1.3732020489856842</v>
      </c>
      <c r="D12">
        <f t="shared" si="3"/>
        <v>1.3166980460004072</v>
      </c>
      <c r="E12">
        <f t="shared" si="4"/>
        <v>1.2191040776172062</v>
      </c>
      <c r="F12">
        <f t="shared" si="5"/>
        <v>1.1663655946807789</v>
      </c>
    </row>
    <row r="13" spans="1:14" x14ac:dyDescent="0.3">
      <c r="A13">
        <v>2012</v>
      </c>
      <c r="B13" cm="1">
        <f t="array" ref="B13">INDEX('[1]monthly cpi west'!R$12:R$37, MATCH(A13,'[1]monthly cpi west'!E$12:E$38, 0), 0)</f>
        <v>232.376</v>
      </c>
      <c r="C13">
        <f t="shared" si="2"/>
        <v>1.3935776500154922</v>
      </c>
      <c r="D13">
        <f t="shared" si="3"/>
        <v>1.3362352394395292</v>
      </c>
      <c r="E13">
        <f t="shared" si="4"/>
        <v>1.2371931696905016</v>
      </c>
      <c r="F13">
        <f t="shared" si="5"/>
        <v>1.1836721520294695</v>
      </c>
    </row>
    <row r="14" spans="1:14" x14ac:dyDescent="0.3">
      <c r="A14">
        <v>2011</v>
      </c>
      <c r="B14" cm="1">
        <f t="array" ref="B14">INDEX('[1]monthly cpi west'!R$12:R$37, MATCH(A14,'[1]monthly cpi west'!E$12:E$38, 0), 0)</f>
        <v>227.48500000000001</v>
      </c>
      <c r="C14">
        <f t="shared" si="2"/>
        <v>1.423540013627272</v>
      </c>
      <c r="D14">
        <f t="shared" si="3"/>
        <v>1.3649647229487658</v>
      </c>
      <c r="E14">
        <f t="shared" si="4"/>
        <v>1.2637932171351958</v>
      </c>
      <c r="F14">
        <f t="shared" si="5"/>
        <v>1.2091214805371784</v>
      </c>
    </row>
    <row r="15" spans="1:14" x14ac:dyDescent="0.3">
      <c r="A15">
        <v>2010</v>
      </c>
      <c r="B15" cm="1">
        <f t="array" ref="B15">INDEX('[1]monthly cpi west'!R$12:R$37, MATCH(A15,'[1]monthly cpi west'!E$12:E$38, 0), 0)</f>
        <v>221.203</v>
      </c>
      <c r="C15">
        <f t="shared" si="2"/>
        <v>1.4639674868785686</v>
      </c>
      <c r="D15">
        <f t="shared" si="3"/>
        <v>1.4037287016903026</v>
      </c>
      <c r="E15">
        <f t="shared" si="4"/>
        <v>1.2996840006690689</v>
      </c>
      <c r="F15">
        <f t="shared" si="5"/>
        <v>1.2434596275819045</v>
      </c>
    </row>
    <row r="16" spans="1:14" x14ac:dyDescent="0.3">
      <c r="A16">
        <v>2009</v>
      </c>
      <c r="B16" cm="1">
        <f t="array" ref="B16">INDEX('[1]monthly cpi west'!R$12:R$37, MATCH(A16,'[1]monthly cpi west'!E$12:E$38, 0), 0)</f>
        <v>218.822</v>
      </c>
      <c r="C16">
        <f t="shared" si="2"/>
        <v>1.4798969025052326</v>
      </c>
      <c r="D16">
        <f t="shared" si="3"/>
        <v>1.4190026596960086</v>
      </c>
      <c r="E16">
        <f t="shared" si="4"/>
        <v>1.3138258493204524</v>
      </c>
      <c r="F16">
        <f t="shared" si="5"/>
        <v>1.2569896993903722</v>
      </c>
    </row>
    <row r="17" spans="1:6" x14ac:dyDescent="0.3">
      <c r="A17">
        <v>2008</v>
      </c>
      <c r="B17" cm="1">
        <f t="array" ref="B17">INDEX('[1]monthly cpi west'!R$12:R$37, MATCH(A17,'[1]monthly cpi west'!E$12:E$38, 0), 0)</f>
        <v>219.64599999999999</v>
      </c>
      <c r="C17">
        <f t="shared" si="2"/>
        <v>1.4743450825419084</v>
      </c>
      <c r="D17">
        <f t="shared" si="3"/>
        <v>1.4136792839387016</v>
      </c>
      <c r="E17">
        <f t="shared" si="4"/>
        <v>1.3088970434244196</v>
      </c>
      <c r="F17">
        <f t="shared" si="5"/>
        <v>1.2522741138012985</v>
      </c>
    </row>
    <row r="18" spans="1:6" x14ac:dyDescent="0.3">
      <c r="A18">
        <v>2007</v>
      </c>
      <c r="B18" cm="1">
        <f t="array" ref="B18">INDEX('[1]monthly cpi west'!R$12:R$37, MATCH(A18,'[1]monthly cpi west'!E$12:E$38, 0), 0)</f>
        <v>212.23</v>
      </c>
      <c r="C18">
        <f t="shared" si="2"/>
        <v>1.5258634500306272</v>
      </c>
      <c r="D18">
        <f t="shared" si="3"/>
        <v>1.4630777929604675</v>
      </c>
      <c r="E18">
        <f t="shared" si="4"/>
        <v>1.3546341233567358</v>
      </c>
      <c r="F18">
        <f t="shared" si="5"/>
        <v>1.2960326061348539</v>
      </c>
    </row>
    <row r="19" spans="1:6" x14ac:dyDescent="0.3">
      <c r="A19">
        <v>2006</v>
      </c>
      <c r="B19" cm="1">
        <f t="array" ref="B19">INDEX('[1]monthly cpi west'!R$12:R$37, MATCH(A19,'[1]monthly cpi west'!E$12:E$38, 0), 0)</f>
        <v>205.7</v>
      </c>
      <c r="C19">
        <f t="shared" si="2"/>
        <v>1.5743023821098689</v>
      </c>
      <c r="D19">
        <f t="shared" si="3"/>
        <v>1.5095235780262519</v>
      </c>
      <c r="E19">
        <f t="shared" si="4"/>
        <v>1.3976373359261063</v>
      </c>
      <c r="F19">
        <f t="shared" si="5"/>
        <v>1.3371754982984931</v>
      </c>
    </row>
    <row r="20" spans="1:6" x14ac:dyDescent="0.3">
      <c r="A20">
        <v>2005</v>
      </c>
      <c r="B20" cm="1">
        <f t="array" ref="B20">INDEX('[1]monthly cpi west'!R$12:R$37, MATCH(A20,'[1]monthly cpi west'!E$12:E$38, 0), 0)</f>
        <v>198.9</v>
      </c>
      <c r="C20">
        <f t="shared" si="2"/>
        <v>1.6281246857717446</v>
      </c>
      <c r="D20">
        <f t="shared" si="3"/>
        <v>1.5611312217194571</v>
      </c>
      <c r="E20">
        <f t="shared" si="4"/>
        <v>1.4454198089492207</v>
      </c>
      <c r="F20">
        <f t="shared" si="5"/>
        <v>1.3828908999497236</v>
      </c>
    </row>
    <row r="21" spans="1:6" x14ac:dyDescent="0.3">
      <c r="A21">
        <v>2004</v>
      </c>
      <c r="B21" cm="1">
        <f t="array" ref="B21">INDEX('[1]monthly cpi west'!R$12:R$37, MATCH(A21,'[1]monthly cpi west'!E$12:E$38, 0), 0)</f>
        <v>193</v>
      </c>
      <c r="C21">
        <f t="shared" si="2"/>
        <v>1.6778963730569949</v>
      </c>
      <c r="D21">
        <f t="shared" si="3"/>
        <v>1.6088549222797928</v>
      </c>
      <c r="E21">
        <f t="shared" si="4"/>
        <v>1.4896062176165805</v>
      </c>
      <c r="F21">
        <f t="shared" si="5"/>
        <v>1.4251658031088084</v>
      </c>
    </row>
    <row r="22" spans="1:6" x14ac:dyDescent="0.3">
      <c r="A22">
        <v>2003</v>
      </c>
      <c r="B22" cm="1">
        <f t="array" ref="B22">INDEX('[1]monthly cpi west'!R$12:R$37, MATCH(A22,'[1]monthly cpi west'!E$12:E$38, 0), 0)</f>
        <v>188.6</v>
      </c>
      <c r="C22">
        <f t="shared" si="2"/>
        <v>1.7170413573700956</v>
      </c>
      <c r="D22">
        <f t="shared" si="3"/>
        <v>1.6463891834570521</v>
      </c>
      <c r="E22">
        <f t="shared" si="4"/>
        <v>1.5243584305408273</v>
      </c>
      <c r="F22">
        <f t="shared" si="5"/>
        <v>1.4584146341463415</v>
      </c>
    </row>
    <row r="23" spans="1:6" x14ac:dyDescent="0.3">
      <c r="A23">
        <v>2002</v>
      </c>
      <c r="B23" cm="1">
        <f t="array" ref="B23">INDEX('[1]monthly cpi west'!R$12:R$37, MATCH(A23,'[1]monthly cpi west'!E$12:E$38, 0), 0)</f>
        <v>184.7</v>
      </c>
      <c r="C23">
        <f t="shared" si="2"/>
        <v>1.7532972387655659</v>
      </c>
      <c r="D23">
        <f t="shared" si="3"/>
        <v>1.6811532214401734</v>
      </c>
      <c r="E23">
        <f t="shared" si="4"/>
        <v>1.5565457498646456</v>
      </c>
      <c r="F23">
        <f t="shared" si="5"/>
        <v>1.4892095289658909</v>
      </c>
    </row>
    <row r="24" spans="1:6" x14ac:dyDescent="0.3">
      <c r="A24">
        <v>2001</v>
      </c>
      <c r="B24" cm="1">
        <f t="array" ref="B24">INDEX('[1]monthly cpi west'!R$12:R$37, MATCH(A24,'[1]monthly cpi west'!E$12:E$38, 0), 0)</f>
        <v>181.2</v>
      </c>
      <c r="C24">
        <f t="shared" si="2"/>
        <v>1.7871633554083886</v>
      </c>
      <c r="D24">
        <f t="shared" si="3"/>
        <v>1.7136258278145697</v>
      </c>
      <c r="E24">
        <f t="shared" si="4"/>
        <v>1.5866114790286978</v>
      </c>
      <c r="F24">
        <f t="shared" si="5"/>
        <v>1.5179746136865344</v>
      </c>
    </row>
    <row r="25" spans="1:6" x14ac:dyDescent="0.3">
      <c r="A25">
        <v>2000</v>
      </c>
      <c r="B25" cm="1">
        <f t="array" ref="B25">INDEX('[1]monthly cpi west'!R$12:R$37, MATCH(A25,'[1]monthly cpi west'!E$12:E$38, 0), 0)</f>
        <v>174.8</v>
      </c>
      <c r="C25">
        <f t="shared" si="2"/>
        <v>1.8525972540045765</v>
      </c>
      <c r="D25">
        <f t="shared" si="3"/>
        <v>1.7763672768878718</v>
      </c>
      <c r="E25">
        <f t="shared" si="4"/>
        <v>1.6447025171624714</v>
      </c>
      <c r="F25">
        <f t="shared" si="5"/>
        <v>1.5735526315789474</v>
      </c>
    </row>
    <row r="26" spans="1:6" x14ac:dyDescent="0.3">
      <c r="A26">
        <v>1999</v>
      </c>
      <c r="B26" cm="1">
        <f t="array" ref="B26">INDEX('[1]monthly cpi west'!R$12:R$37, MATCH(A26,'[1]monthly cpi west'!E$12:E$38, 0), 0)</f>
        <v>168.9</v>
      </c>
      <c r="C26">
        <f t="shared" si="2"/>
        <v>1.9173120189461219</v>
      </c>
      <c r="D26">
        <f t="shared" si="3"/>
        <v>1.8384191829484902</v>
      </c>
      <c r="E26">
        <f t="shared" si="4"/>
        <v>1.7021551213735939</v>
      </c>
      <c r="F26">
        <f t="shared" si="5"/>
        <v>1.6285198342214329</v>
      </c>
    </row>
    <row r="27" spans="1:6" x14ac:dyDescent="0.3">
      <c r="A27">
        <v>1998</v>
      </c>
      <c r="B27" cm="1">
        <f t="array" ref="B27">INDEX('[1]monthly cpi west'!R$12:R$37, MATCH(A27,'[1]monthly cpi west'!E$12:E$38, 0), 0)</f>
        <v>164.4</v>
      </c>
      <c r="C27">
        <f t="shared" si="2"/>
        <v>1.9697931873479317</v>
      </c>
      <c r="D27">
        <f t="shared" si="3"/>
        <v>1.8887408759124087</v>
      </c>
      <c r="E27">
        <f t="shared" si="4"/>
        <v>1.7487469586374698</v>
      </c>
      <c r="F27">
        <f t="shared" si="5"/>
        <v>1.6730961070559611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9967B-C8B7-48FF-A0D9-55D2F3AE9026}">
  <dimension ref="A1:D302"/>
  <sheetViews>
    <sheetView workbookViewId="0">
      <selection activeCell="D3" sqref="D3"/>
    </sheetView>
  </sheetViews>
  <sheetFormatPr defaultRowHeight="13" x14ac:dyDescent="0.3"/>
  <cols>
    <col min="4" max="4" width="17.59765625" bestFit="1" customWidth="1"/>
  </cols>
  <sheetData>
    <row r="1" spans="1:4" x14ac:dyDescent="0.3">
      <c r="A1" t="s">
        <v>15</v>
      </c>
      <c r="B1" t="s">
        <v>16</v>
      </c>
      <c r="C1" t="s">
        <v>17</v>
      </c>
      <c r="D1" t="s">
        <v>18</v>
      </c>
    </row>
    <row r="2" spans="1:4" x14ac:dyDescent="0.3">
      <c r="A2" t="s">
        <v>19</v>
      </c>
      <c r="B2">
        <v>35796</v>
      </c>
      <c r="C2">
        <v>163</v>
      </c>
      <c r="D2">
        <v>0.513423019620319</v>
      </c>
    </row>
    <row r="3" spans="1:4" x14ac:dyDescent="0.3">
      <c r="A3" t="s">
        <v>20</v>
      </c>
      <c r="B3">
        <v>35827</v>
      </c>
      <c r="C3">
        <v>163.19999999999999</v>
      </c>
      <c r="D3">
        <v>0.51405298651555864</v>
      </c>
    </row>
    <row r="4" spans="1:4" x14ac:dyDescent="0.3">
      <c r="A4" t="s">
        <v>21</v>
      </c>
      <c r="B4">
        <v>35855</v>
      </c>
      <c r="C4">
        <v>163.30000000000001</v>
      </c>
      <c r="D4">
        <v>0.51436796996317846</v>
      </c>
    </row>
    <row r="5" spans="1:4" x14ac:dyDescent="0.3">
      <c r="A5" t="s">
        <v>22</v>
      </c>
      <c r="B5">
        <v>35886</v>
      </c>
      <c r="C5">
        <v>163.6</v>
      </c>
      <c r="D5">
        <v>0.51531292030603792</v>
      </c>
    </row>
    <row r="6" spans="1:4" x14ac:dyDescent="0.3">
      <c r="A6" t="s">
        <v>23</v>
      </c>
      <c r="B6">
        <v>35916</v>
      </c>
      <c r="C6">
        <v>164.3</v>
      </c>
      <c r="D6">
        <v>0.51751780443937678</v>
      </c>
    </row>
    <row r="7" spans="1:4" x14ac:dyDescent="0.3">
      <c r="A7" t="s">
        <v>24</v>
      </c>
      <c r="B7">
        <v>35947</v>
      </c>
      <c r="C7">
        <v>164.2</v>
      </c>
      <c r="D7">
        <v>0.51720282099175685</v>
      </c>
    </row>
    <row r="8" spans="1:4" x14ac:dyDescent="0.3">
      <c r="A8" t="s">
        <v>25</v>
      </c>
      <c r="B8">
        <v>35977</v>
      </c>
      <c r="C8">
        <v>164.3</v>
      </c>
      <c r="D8">
        <v>0.51751780443937678</v>
      </c>
    </row>
    <row r="9" spans="1:4" x14ac:dyDescent="0.3">
      <c r="A9" t="s">
        <v>26</v>
      </c>
      <c r="B9">
        <v>36008</v>
      </c>
      <c r="C9">
        <v>164.8</v>
      </c>
      <c r="D9">
        <v>0.51909272167747589</v>
      </c>
    </row>
    <row r="10" spans="1:4" x14ac:dyDescent="0.3">
      <c r="A10" t="s">
        <v>27</v>
      </c>
      <c r="B10">
        <v>36039</v>
      </c>
      <c r="C10">
        <v>165.1</v>
      </c>
      <c r="D10">
        <v>0.52003767202033535</v>
      </c>
    </row>
    <row r="11" spans="1:4" x14ac:dyDescent="0.3">
      <c r="A11" t="s">
        <v>28</v>
      </c>
      <c r="B11">
        <v>36069</v>
      </c>
      <c r="C11">
        <v>165.5</v>
      </c>
      <c r="D11">
        <v>0.52129760581081463</v>
      </c>
    </row>
    <row r="12" spans="1:4" x14ac:dyDescent="0.3">
      <c r="A12" t="s">
        <v>29</v>
      </c>
      <c r="B12">
        <v>36100</v>
      </c>
      <c r="C12">
        <v>165.8</v>
      </c>
      <c r="D12">
        <v>0.52224255615367421</v>
      </c>
    </row>
    <row r="13" spans="1:4" x14ac:dyDescent="0.3">
      <c r="A13" t="s">
        <v>30</v>
      </c>
      <c r="B13">
        <v>36130</v>
      </c>
      <c r="C13">
        <v>165.8</v>
      </c>
      <c r="D13">
        <v>0.52224255615367421</v>
      </c>
    </row>
    <row r="14" spans="1:4" x14ac:dyDescent="0.3">
      <c r="A14" t="s">
        <v>31</v>
      </c>
      <c r="B14">
        <v>36161</v>
      </c>
      <c r="C14">
        <v>166.4</v>
      </c>
      <c r="D14">
        <v>0.52413245683939313</v>
      </c>
    </row>
    <row r="15" spans="1:4" x14ac:dyDescent="0.3">
      <c r="A15" t="s">
        <v>32</v>
      </c>
      <c r="B15">
        <v>36192</v>
      </c>
      <c r="C15">
        <v>166.9</v>
      </c>
      <c r="D15">
        <v>0.52570737407749224</v>
      </c>
    </row>
    <row r="16" spans="1:4" x14ac:dyDescent="0.3">
      <c r="A16" t="s">
        <v>33</v>
      </c>
      <c r="B16">
        <v>36220</v>
      </c>
      <c r="C16">
        <v>167.3</v>
      </c>
      <c r="D16">
        <v>0.52696730786797163</v>
      </c>
    </row>
    <row r="17" spans="1:4" x14ac:dyDescent="0.3">
      <c r="A17" t="s">
        <v>34</v>
      </c>
      <c r="B17">
        <v>36251</v>
      </c>
      <c r="C17">
        <v>169</v>
      </c>
      <c r="D17">
        <v>0.5323220264775087</v>
      </c>
    </row>
    <row r="18" spans="1:4" x14ac:dyDescent="0.3">
      <c r="A18" t="s">
        <v>35</v>
      </c>
      <c r="B18">
        <v>36281</v>
      </c>
      <c r="C18">
        <v>168.7</v>
      </c>
      <c r="D18">
        <v>0.53137707613464913</v>
      </c>
    </row>
    <row r="19" spans="1:4" x14ac:dyDescent="0.3">
      <c r="A19" t="s">
        <v>36</v>
      </c>
      <c r="B19">
        <v>36312</v>
      </c>
      <c r="C19">
        <v>168.3</v>
      </c>
      <c r="D19">
        <v>0.53011714234416984</v>
      </c>
    </row>
    <row r="20" spans="1:4" x14ac:dyDescent="0.3">
      <c r="A20" t="s">
        <v>37</v>
      </c>
      <c r="B20">
        <v>36342</v>
      </c>
      <c r="C20">
        <v>168.9</v>
      </c>
      <c r="D20">
        <v>0.53200704302988888</v>
      </c>
    </row>
    <row r="21" spans="1:4" x14ac:dyDescent="0.3">
      <c r="A21" t="s">
        <v>38</v>
      </c>
      <c r="B21">
        <v>36373</v>
      </c>
      <c r="C21">
        <v>169.5</v>
      </c>
      <c r="D21">
        <v>0.53389694371560781</v>
      </c>
    </row>
    <row r="22" spans="1:4" x14ac:dyDescent="0.3">
      <c r="A22" t="s">
        <v>39</v>
      </c>
      <c r="B22">
        <v>36404</v>
      </c>
      <c r="C22">
        <v>170</v>
      </c>
      <c r="D22">
        <v>0.53547186095370691</v>
      </c>
    </row>
    <row r="23" spans="1:4" x14ac:dyDescent="0.3">
      <c r="A23" t="s">
        <v>40</v>
      </c>
      <c r="B23">
        <v>36434</v>
      </c>
      <c r="C23">
        <v>170.4</v>
      </c>
      <c r="D23">
        <v>0.53673179474418631</v>
      </c>
    </row>
    <row r="24" spans="1:4" x14ac:dyDescent="0.3">
      <c r="A24" t="s">
        <v>41</v>
      </c>
      <c r="B24">
        <v>36465</v>
      </c>
      <c r="C24">
        <v>170.4</v>
      </c>
      <c r="D24">
        <v>0.53673179474418631</v>
      </c>
    </row>
    <row r="25" spans="1:4" x14ac:dyDescent="0.3">
      <c r="A25" t="s">
        <v>42</v>
      </c>
      <c r="B25">
        <v>36495</v>
      </c>
      <c r="C25">
        <v>170.5</v>
      </c>
      <c r="D25">
        <v>0.53704677819180602</v>
      </c>
    </row>
    <row r="26" spans="1:4" x14ac:dyDescent="0.3">
      <c r="A26" t="s">
        <v>43</v>
      </c>
      <c r="B26">
        <v>36526</v>
      </c>
      <c r="C26">
        <v>171</v>
      </c>
      <c r="D26">
        <v>0.53862169542990523</v>
      </c>
    </row>
    <row r="27" spans="1:4" x14ac:dyDescent="0.3">
      <c r="A27" t="s">
        <v>44</v>
      </c>
      <c r="B27">
        <v>36557</v>
      </c>
      <c r="C27">
        <v>172</v>
      </c>
      <c r="D27">
        <v>0.54177152990610344</v>
      </c>
    </row>
    <row r="28" spans="1:4" x14ac:dyDescent="0.3">
      <c r="A28" t="s">
        <v>45</v>
      </c>
      <c r="B28">
        <v>36586</v>
      </c>
      <c r="C28">
        <v>173.5</v>
      </c>
      <c r="D28">
        <v>0.54649628162040087</v>
      </c>
    </row>
    <row r="29" spans="1:4" x14ac:dyDescent="0.3">
      <c r="A29" t="s">
        <v>46</v>
      </c>
      <c r="B29">
        <v>36617</v>
      </c>
      <c r="C29">
        <v>173.7</v>
      </c>
      <c r="D29">
        <v>0.54712624851564051</v>
      </c>
    </row>
    <row r="30" spans="1:4" x14ac:dyDescent="0.3">
      <c r="A30" t="s">
        <v>47</v>
      </c>
      <c r="B30">
        <v>36647</v>
      </c>
      <c r="C30">
        <v>174</v>
      </c>
      <c r="D30">
        <v>0.54807119885849997</v>
      </c>
    </row>
    <row r="31" spans="1:4" x14ac:dyDescent="0.3">
      <c r="A31" t="s">
        <v>48</v>
      </c>
      <c r="B31">
        <v>36678</v>
      </c>
      <c r="C31">
        <v>174.3</v>
      </c>
      <c r="D31">
        <v>0.54901614920135955</v>
      </c>
    </row>
    <row r="32" spans="1:4" x14ac:dyDescent="0.3">
      <c r="A32" t="s">
        <v>49</v>
      </c>
      <c r="B32">
        <v>36708</v>
      </c>
      <c r="C32">
        <v>175.2</v>
      </c>
      <c r="D32">
        <v>0.55185100022993794</v>
      </c>
    </row>
    <row r="33" spans="1:4" x14ac:dyDescent="0.3">
      <c r="A33" t="s">
        <v>50</v>
      </c>
      <c r="B33">
        <v>36739</v>
      </c>
      <c r="C33">
        <v>175.9</v>
      </c>
      <c r="D33">
        <v>0.5540558843632768</v>
      </c>
    </row>
    <row r="34" spans="1:4" x14ac:dyDescent="0.3">
      <c r="A34" t="s">
        <v>51</v>
      </c>
      <c r="B34">
        <v>36770</v>
      </c>
      <c r="C34">
        <v>176.6</v>
      </c>
      <c r="D34">
        <v>0.55626076849661554</v>
      </c>
    </row>
    <row r="35" spans="1:4" x14ac:dyDescent="0.3">
      <c r="A35" t="s">
        <v>52</v>
      </c>
      <c r="B35">
        <v>36800</v>
      </c>
      <c r="C35">
        <v>177.2</v>
      </c>
      <c r="D35">
        <v>0.55815066918233447</v>
      </c>
    </row>
    <row r="36" spans="1:4" x14ac:dyDescent="0.3">
      <c r="A36" t="s">
        <v>53</v>
      </c>
      <c r="B36">
        <v>36831</v>
      </c>
      <c r="C36">
        <v>177.2</v>
      </c>
      <c r="D36">
        <v>0.55815066918233447</v>
      </c>
    </row>
    <row r="37" spans="1:4" x14ac:dyDescent="0.3">
      <c r="A37" t="s">
        <v>54</v>
      </c>
      <c r="B37">
        <v>36861</v>
      </c>
      <c r="C37">
        <v>177.1</v>
      </c>
      <c r="D37">
        <v>0.55783568573471465</v>
      </c>
    </row>
    <row r="38" spans="1:4" x14ac:dyDescent="0.3">
      <c r="A38" t="s">
        <v>55</v>
      </c>
      <c r="B38">
        <v>36892</v>
      </c>
      <c r="C38">
        <v>178.3</v>
      </c>
      <c r="D38">
        <v>0.56161548710615261</v>
      </c>
    </row>
    <row r="39" spans="1:4" x14ac:dyDescent="0.3">
      <c r="A39" t="s">
        <v>56</v>
      </c>
      <c r="B39">
        <v>36923</v>
      </c>
      <c r="C39">
        <v>179.3</v>
      </c>
      <c r="D39">
        <v>0.56476532158235093</v>
      </c>
    </row>
    <row r="40" spans="1:4" x14ac:dyDescent="0.3">
      <c r="A40" t="s">
        <v>57</v>
      </c>
      <c r="B40">
        <v>36951</v>
      </c>
      <c r="C40">
        <v>180.1</v>
      </c>
      <c r="D40">
        <v>0.5672851891633095</v>
      </c>
    </row>
    <row r="41" spans="1:4" x14ac:dyDescent="0.3">
      <c r="A41" t="s">
        <v>58</v>
      </c>
      <c r="B41">
        <v>36982</v>
      </c>
      <c r="C41">
        <v>180.4</v>
      </c>
      <c r="D41">
        <v>0.56823013950616896</v>
      </c>
    </row>
    <row r="42" spans="1:4" x14ac:dyDescent="0.3">
      <c r="A42" t="s">
        <v>59</v>
      </c>
      <c r="B42">
        <v>37012</v>
      </c>
      <c r="C42">
        <v>181.3</v>
      </c>
      <c r="D42">
        <v>0.57106499053474746</v>
      </c>
    </row>
    <row r="43" spans="1:4" x14ac:dyDescent="0.3">
      <c r="A43" t="s">
        <v>60</v>
      </c>
      <c r="B43">
        <v>37043</v>
      </c>
      <c r="C43">
        <v>182</v>
      </c>
      <c r="D43">
        <v>0.57326987466808621</v>
      </c>
    </row>
    <row r="44" spans="1:4" x14ac:dyDescent="0.3">
      <c r="A44" t="s">
        <v>61</v>
      </c>
      <c r="B44">
        <v>37073</v>
      </c>
      <c r="C44">
        <v>182</v>
      </c>
      <c r="D44">
        <v>0.57326987466808621</v>
      </c>
    </row>
    <row r="45" spans="1:4" x14ac:dyDescent="0.3">
      <c r="A45" t="s">
        <v>62</v>
      </c>
      <c r="B45">
        <v>37104</v>
      </c>
      <c r="C45">
        <v>181.9</v>
      </c>
      <c r="D45">
        <v>0.57295489122046639</v>
      </c>
    </row>
    <row r="46" spans="1:4" x14ac:dyDescent="0.3">
      <c r="A46" t="s">
        <v>63</v>
      </c>
      <c r="B46">
        <v>37135</v>
      </c>
      <c r="C46">
        <v>182.5</v>
      </c>
      <c r="D46">
        <v>0.57484479190618543</v>
      </c>
    </row>
    <row r="47" spans="1:4" x14ac:dyDescent="0.3">
      <c r="A47" t="s">
        <v>64</v>
      </c>
      <c r="B47">
        <v>37165</v>
      </c>
      <c r="C47">
        <v>182.5</v>
      </c>
      <c r="D47">
        <v>0.57484479190618543</v>
      </c>
    </row>
    <row r="48" spans="1:4" x14ac:dyDescent="0.3">
      <c r="A48" t="s">
        <v>65</v>
      </c>
      <c r="B48">
        <v>37196</v>
      </c>
      <c r="C48">
        <v>182.3</v>
      </c>
      <c r="D48">
        <v>0.57421482501094578</v>
      </c>
    </row>
    <row r="49" spans="1:4" x14ac:dyDescent="0.3">
      <c r="A49" t="s">
        <v>66</v>
      </c>
      <c r="B49">
        <v>37226</v>
      </c>
      <c r="C49">
        <v>181.6</v>
      </c>
      <c r="D49">
        <v>0.57200994087760693</v>
      </c>
    </row>
    <row r="50" spans="1:4" x14ac:dyDescent="0.3">
      <c r="A50" t="s">
        <v>67</v>
      </c>
      <c r="B50">
        <v>37257</v>
      </c>
      <c r="C50">
        <v>182.4</v>
      </c>
      <c r="D50">
        <v>0.57452980845856561</v>
      </c>
    </row>
    <row r="51" spans="1:4" x14ac:dyDescent="0.3">
      <c r="A51" t="s">
        <v>68</v>
      </c>
      <c r="B51">
        <v>37288</v>
      </c>
      <c r="C51">
        <v>183.2</v>
      </c>
      <c r="D51">
        <v>0.57704967603952417</v>
      </c>
    </row>
    <row r="52" spans="1:4" x14ac:dyDescent="0.3">
      <c r="A52" t="s">
        <v>69</v>
      </c>
      <c r="B52">
        <v>37316</v>
      </c>
      <c r="C52">
        <v>184</v>
      </c>
      <c r="D52">
        <v>0.57956954362048274</v>
      </c>
    </row>
    <row r="53" spans="1:4" x14ac:dyDescent="0.3">
      <c r="A53" t="s">
        <v>70</v>
      </c>
      <c r="B53">
        <v>37347</v>
      </c>
      <c r="C53">
        <v>185.1</v>
      </c>
      <c r="D53">
        <v>0.58303436154430088</v>
      </c>
    </row>
    <row r="54" spans="1:4" x14ac:dyDescent="0.3">
      <c r="A54" t="s">
        <v>71</v>
      </c>
      <c r="B54">
        <v>37377</v>
      </c>
      <c r="C54">
        <v>184.8</v>
      </c>
      <c r="D54">
        <v>0.58208941120144142</v>
      </c>
    </row>
    <row r="55" spans="1:4" x14ac:dyDescent="0.3">
      <c r="A55" t="s">
        <v>72</v>
      </c>
      <c r="B55">
        <v>37408</v>
      </c>
      <c r="C55">
        <v>184.5</v>
      </c>
      <c r="D55">
        <v>0.58114446085858196</v>
      </c>
    </row>
    <row r="56" spans="1:4" x14ac:dyDescent="0.3">
      <c r="A56" t="s">
        <v>73</v>
      </c>
      <c r="B56">
        <v>37438</v>
      </c>
      <c r="C56">
        <v>184.7</v>
      </c>
      <c r="D56">
        <v>0.5817744277538216</v>
      </c>
    </row>
    <row r="57" spans="1:4" x14ac:dyDescent="0.3">
      <c r="A57" t="s">
        <v>74</v>
      </c>
      <c r="B57">
        <v>37469</v>
      </c>
      <c r="C57">
        <v>185.3</v>
      </c>
      <c r="D57">
        <v>0.58366432843954064</v>
      </c>
    </row>
    <row r="58" spans="1:4" x14ac:dyDescent="0.3">
      <c r="A58" t="s">
        <v>75</v>
      </c>
      <c r="B58">
        <v>37500</v>
      </c>
      <c r="C58">
        <v>185.7</v>
      </c>
      <c r="D58">
        <v>0.58492426223001981</v>
      </c>
    </row>
    <row r="59" spans="1:4" x14ac:dyDescent="0.3">
      <c r="A59" t="s">
        <v>76</v>
      </c>
      <c r="B59">
        <v>37530</v>
      </c>
      <c r="C59">
        <v>185.8</v>
      </c>
      <c r="D59">
        <v>0.58523924567763974</v>
      </c>
    </row>
    <row r="60" spans="1:4" x14ac:dyDescent="0.3">
      <c r="A60" t="s">
        <v>77</v>
      </c>
      <c r="B60">
        <v>37561</v>
      </c>
      <c r="C60">
        <v>185.8</v>
      </c>
      <c r="D60">
        <v>0.58523924567763974</v>
      </c>
    </row>
    <row r="61" spans="1:4" x14ac:dyDescent="0.3">
      <c r="A61" t="s">
        <v>78</v>
      </c>
      <c r="B61">
        <v>37591</v>
      </c>
      <c r="C61">
        <v>185.5</v>
      </c>
      <c r="D61">
        <v>0.58429429533478017</v>
      </c>
    </row>
    <row r="62" spans="1:4" x14ac:dyDescent="0.3">
      <c r="A62" t="s">
        <v>79</v>
      </c>
      <c r="B62">
        <v>37622</v>
      </c>
      <c r="C62">
        <v>186.6</v>
      </c>
      <c r="D62">
        <v>0.58775911325859831</v>
      </c>
    </row>
    <row r="63" spans="1:4" x14ac:dyDescent="0.3">
      <c r="A63" t="s">
        <v>80</v>
      </c>
      <c r="B63">
        <v>37653</v>
      </c>
      <c r="C63">
        <v>188.1</v>
      </c>
      <c r="D63">
        <v>0.59248386497289574</v>
      </c>
    </row>
    <row r="64" spans="1:4" x14ac:dyDescent="0.3">
      <c r="A64" t="s">
        <v>81</v>
      </c>
      <c r="B64">
        <v>37681</v>
      </c>
      <c r="C64">
        <v>189.3</v>
      </c>
      <c r="D64">
        <v>0.5962636663443337</v>
      </c>
    </row>
    <row r="65" spans="1:4" x14ac:dyDescent="0.3">
      <c r="A65" t="s">
        <v>82</v>
      </c>
      <c r="B65">
        <v>37712</v>
      </c>
      <c r="C65">
        <v>188.8</v>
      </c>
      <c r="D65">
        <v>0.59468874910623459</v>
      </c>
    </row>
    <row r="66" spans="1:4" x14ac:dyDescent="0.3">
      <c r="A66" t="s">
        <v>83</v>
      </c>
      <c r="B66">
        <v>37742</v>
      </c>
      <c r="C66">
        <v>188.5</v>
      </c>
      <c r="D66">
        <v>0.59374379876337502</v>
      </c>
    </row>
    <row r="67" spans="1:4" x14ac:dyDescent="0.3">
      <c r="A67" t="s">
        <v>84</v>
      </c>
      <c r="B67">
        <v>37773</v>
      </c>
      <c r="C67">
        <v>188.1</v>
      </c>
      <c r="D67">
        <v>0.59248386497289574</v>
      </c>
    </row>
    <row r="68" spans="1:4" x14ac:dyDescent="0.3">
      <c r="A68" t="s">
        <v>85</v>
      </c>
      <c r="B68">
        <v>37803</v>
      </c>
      <c r="C68">
        <v>188.4</v>
      </c>
      <c r="D68">
        <v>0.5934288153157552</v>
      </c>
    </row>
    <row r="69" spans="1:4" x14ac:dyDescent="0.3">
      <c r="A69" t="s">
        <v>86</v>
      </c>
      <c r="B69">
        <v>37834</v>
      </c>
      <c r="C69">
        <v>189.2</v>
      </c>
      <c r="D69">
        <v>0.59594868289671377</v>
      </c>
    </row>
    <row r="70" spans="1:4" x14ac:dyDescent="0.3">
      <c r="A70" t="s">
        <v>87</v>
      </c>
      <c r="B70">
        <v>37865</v>
      </c>
      <c r="C70">
        <v>189.6</v>
      </c>
      <c r="D70">
        <v>0.59720861668719316</v>
      </c>
    </row>
    <row r="71" spans="1:4" x14ac:dyDescent="0.3">
      <c r="A71" t="s">
        <v>88</v>
      </c>
      <c r="B71">
        <v>37895</v>
      </c>
      <c r="C71">
        <v>189.4</v>
      </c>
      <c r="D71">
        <v>0.59657864979195352</v>
      </c>
    </row>
    <row r="72" spans="1:4" x14ac:dyDescent="0.3">
      <c r="A72" t="s">
        <v>89</v>
      </c>
      <c r="B72">
        <v>37926</v>
      </c>
      <c r="C72">
        <v>188.5</v>
      </c>
      <c r="D72">
        <v>0.59374379876337502</v>
      </c>
    </row>
    <row r="73" spans="1:4" x14ac:dyDescent="0.3">
      <c r="A73" t="s">
        <v>90</v>
      </c>
      <c r="B73">
        <v>37956</v>
      </c>
      <c r="C73">
        <v>188.3</v>
      </c>
      <c r="D73">
        <v>0.59311383186813538</v>
      </c>
    </row>
    <row r="74" spans="1:4" x14ac:dyDescent="0.3">
      <c r="A74" t="s">
        <v>91</v>
      </c>
      <c r="B74">
        <v>37987</v>
      </c>
      <c r="C74">
        <v>189.4</v>
      </c>
      <c r="D74">
        <v>0.59657864979195352</v>
      </c>
    </row>
    <row r="75" spans="1:4" x14ac:dyDescent="0.3">
      <c r="A75" t="s">
        <v>92</v>
      </c>
      <c r="B75">
        <v>38018</v>
      </c>
      <c r="C75">
        <v>190.8</v>
      </c>
      <c r="D75">
        <v>0.60098841805863112</v>
      </c>
    </row>
    <row r="76" spans="1:4" x14ac:dyDescent="0.3">
      <c r="A76" t="s">
        <v>93</v>
      </c>
      <c r="B76">
        <v>38047</v>
      </c>
      <c r="C76">
        <v>192.2</v>
      </c>
      <c r="D76">
        <v>0.60539818632530862</v>
      </c>
    </row>
    <row r="77" spans="1:4" x14ac:dyDescent="0.3">
      <c r="A77" t="s">
        <v>94</v>
      </c>
      <c r="B77">
        <v>38078</v>
      </c>
      <c r="C77">
        <v>192.3</v>
      </c>
      <c r="D77">
        <v>0.60571316977292855</v>
      </c>
    </row>
    <row r="78" spans="1:4" x14ac:dyDescent="0.3">
      <c r="A78" t="s">
        <v>95</v>
      </c>
      <c r="B78">
        <v>38108</v>
      </c>
      <c r="C78">
        <v>193.4</v>
      </c>
      <c r="D78">
        <v>0.60917798769674658</v>
      </c>
    </row>
    <row r="79" spans="1:4" x14ac:dyDescent="0.3">
      <c r="A79" t="s">
        <v>96</v>
      </c>
      <c r="B79">
        <v>38139</v>
      </c>
      <c r="C79">
        <v>193.3</v>
      </c>
      <c r="D79">
        <v>0.60886300424912676</v>
      </c>
    </row>
    <row r="80" spans="1:4" x14ac:dyDescent="0.3">
      <c r="A80" t="s">
        <v>97</v>
      </c>
      <c r="B80">
        <v>38169</v>
      </c>
      <c r="C80">
        <v>192.9</v>
      </c>
      <c r="D80">
        <v>0.60760307045864748</v>
      </c>
    </row>
    <row r="81" spans="1:4" x14ac:dyDescent="0.3">
      <c r="A81" t="s">
        <v>98</v>
      </c>
      <c r="B81">
        <v>38200</v>
      </c>
      <c r="C81">
        <v>193</v>
      </c>
      <c r="D81">
        <v>0.6079180539062673</v>
      </c>
    </row>
    <row r="82" spans="1:4" x14ac:dyDescent="0.3">
      <c r="A82" t="s">
        <v>99</v>
      </c>
      <c r="B82">
        <v>38231</v>
      </c>
      <c r="C82">
        <v>193.8</v>
      </c>
      <c r="D82">
        <v>0.61043792148722598</v>
      </c>
    </row>
    <row r="83" spans="1:4" x14ac:dyDescent="0.3">
      <c r="A83" t="s">
        <v>100</v>
      </c>
      <c r="B83">
        <v>38261</v>
      </c>
      <c r="C83">
        <v>195</v>
      </c>
      <c r="D83">
        <v>0.61421772285866383</v>
      </c>
    </row>
    <row r="84" spans="1:4" x14ac:dyDescent="0.3">
      <c r="A84" t="s">
        <v>101</v>
      </c>
      <c r="B84">
        <v>38292</v>
      </c>
      <c r="C84">
        <v>195.1</v>
      </c>
      <c r="D84">
        <v>0.61453270630628365</v>
      </c>
    </row>
    <row r="85" spans="1:4" x14ac:dyDescent="0.3">
      <c r="A85" t="s">
        <v>102</v>
      </c>
      <c r="B85">
        <v>38322</v>
      </c>
      <c r="C85">
        <v>194.2</v>
      </c>
      <c r="D85">
        <v>0.61169785527770515</v>
      </c>
    </row>
    <row r="86" spans="1:4" x14ac:dyDescent="0.3">
      <c r="A86" t="s">
        <v>103</v>
      </c>
      <c r="B86">
        <v>38353</v>
      </c>
      <c r="C86">
        <v>194.5</v>
      </c>
      <c r="D86">
        <v>0.61264280562056472</v>
      </c>
    </row>
    <row r="87" spans="1:4" x14ac:dyDescent="0.3">
      <c r="A87" t="s">
        <v>104</v>
      </c>
      <c r="B87">
        <v>38384</v>
      </c>
      <c r="C87">
        <v>195.7</v>
      </c>
      <c r="D87">
        <v>0.61642260699200258</v>
      </c>
    </row>
    <row r="88" spans="1:4" x14ac:dyDescent="0.3">
      <c r="A88" t="s">
        <v>105</v>
      </c>
      <c r="B88">
        <v>38412</v>
      </c>
      <c r="C88">
        <v>197.1</v>
      </c>
      <c r="D88">
        <v>0.62083237525868018</v>
      </c>
    </row>
    <row r="89" spans="1:4" x14ac:dyDescent="0.3">
      <c r="A89" t="s">
        <v>106</v>
      </c>
      <c r="B89">
        <v>38443</v>
      </c>
      <c r="C89">
        <v>198.6</v>
      </c>
      <c r="D89">
        <v>0.62555712697297761</v>
      </c>
    </row>
    <row r="90" spans="1:4" x14ac:dyDescent="0.3">
      <c r="A90" t="s">
        <v>107</v>
      </c>
      <c r="B90">
        <v>38473</v>
      </c>
      <c r="C90">
        <v>198.8</v>
      </c>
      <c r="D90">
        <v>0.62618709386821736</v>
      </c>
    </row>
    <row r="91" spans="1:4" x14ac:dyDescent="0.3">
      <c r="A91" t="s">
        <v>108</v>
      </c>
      <c r="B91">
        <v>38504</v>
      </c>
      <c r="C91">
        <v>198</v>
      </c>
      <c r="D91">
        <v>0.62366722628725868</v>
      </c>
    </row>
    <row r="92" spans="1:4" x14ac:dyDescent="0.3">
      <c r="A92" t="s">
        <v>109</v>
      </c>
      <c r="B92">
        <v>38534</v>
      </c>
      <c r="C92">
        <v>198.6</v>
      </c>
      <c r="D92">
        <v>0.62555712697297761</v>
      </c>
    </row>
    <row r="93" spans="1:4" x14ac:dyDescent="0.3">
      <c r="A93" t="s">
        <v>110</v>
      </c>
      <c r="B93">
        <v>38565</v>
      </c>
      <c r="C93">
        <v>199.6</v>
      </c>
      <c r="D93">
        <v>0.62870696144917593</v>
      </c>
    </row>
    <row r="94" spans="1:4" x14ac:dyDescent="0.3">
      <c r="A94" t="s">
        <v>111</v>
      </c>
      <c r="B94">
        <v>38596</v>
      </c>
      <c r="C94">
        <v>201.7</v>
      </c>
      <c r="D94">
        <v>0.63532161384919228</v>
      </c>
    </row>
    <row r="95" spans="1:4" x14ac:dyDescent="0.3">
      <c r="A95" t="s">
        <v>112</v>
      </c>
      <c r="B95">
        <v>38626</v>
      </c>
      <c r="C95">
        <v>202.6</v>
      </c>
      <c r="D95">
        <v>0.63815646487777067</v>
      </c>
    </row>
    <row r="96" spans="1:4" x14ac:dyDescent="0.3">
      <c r="A96" t="s">
        <v>113</v>
      </c>
      <c r="B96">
        <v>38657</v>
      </c>
      <c r="C96">
        <v>201.4</v>
      </c>
      <c r="D96">
        <v>0.63437666350633282</v>
      </c>
    </row>
    <row r="97" spans="1:4" x14ac:dyDescent="0.3">
      <c r="A97" t="s">
        <v>114</v>
      </c>
      <c r="B97">
        <v>38687</v>
      </c>
      <c r="C97">
        <v>200</v>
      </c>
      <c r="D97">
        <v>0.62996689523965521</v>
      </c>
    </row>
    <row r="98" spans="1:4" x14ac:dyDescent="0.3">
      <c r="A98" t="s">
        <v>115</v>
      </c>
      <c r="B98">
        <v>38718</v>
      </c>
      <c r="C98">
        <v>201.7</v>
      </c>
      <c r="D98">
        <v>0.63532161384919228</v>
      </c>
    </row>
    <row r="99" spans="1:4" x14ac:dyDescent="0.3">
      <c r="A99" t="s">
        <v>116</v>
      </c>
      <c r="B99">
        <v>38749</v>
      </c>
      <c r="C99">
        <v>202.7</v>
      </c>
      <c r="D99">
        <v>0.63847144832539049</v>
      </c>
    </row>
    <row r="100" spans="1:4" x14ac:dyDescent="0.3">
      <c r="A100" t="s">
        <v>117</v>
      </c>
      <c r="B100">
        <v>38777</v>
      </c>
      <c r="C100">
        <v>203.8</v>
      </c>
      <c r="D100">
        <v>0.64193626624920874</v>
      </c>
    </row>
    <row r="101" spans="1:4" x14ac:dyDescent="0.3">
      <c r="A101" t="s">
        <v>118</v>
      </c>
      <c r="B101">
        <v>38808</v>
      </c>
      <c r="C101">
        <v>205.3</v>
      </c>
      <c r="D101">
        <v>0.64666101796350606</v>
      </c>
    </row>
    <row r="102" spans="1:4" x14ac:dyDescent="0.3">
      <c r="A102" t="s">
        <v>119</v>
      </c>
      <c r="B102">
        <v>38838</v>
      </c>
      <c r="C102">
        <v>206.9</v>
      </c>
      <c r="D102">
        <v>0.6517007531254233</v>
      </c>
    </row>
    <row r="103" spans="1:4" x14ac:dyDescent="0.3">
      <c r="A103" t="s">
        <v>120</v>
      </c>
      <c r="B103">
        <v>38869</v>
      </c>
      <c r="C103">
        <v>206.4</v>
      </c>
      <c r="D103">
        <v>0.6501258358873242</v>
      </c>
    </row>
    <row r="104" spans="1:4" x14ac:dyDescent="0.3">
      <c r="A104" t="s">
        <v>121</v>
      </c>
      <c r="B104">
        <v>38899</v>
      </c>
      <c r="C104">
        <v>206.7</v>
      </c>
      <c r="D104">
        <v>0.65107078623018366</v>
      </c>
    </row>
    <row r="105" spans="1:4" x14ac:dyDescent="0.3">
      <c r="A105" t="s">
        <v>122</v>
      </c>
      <c r="B105">
        <v>38930</v>
      </c>
      <c r="C105">
        <v>207.5</v>
      </c>
      <c r="D105">
        <v>0.65359065381114223</v>
      </c>
    </row>
    <row r="106" spans="1:4" x14ac:dyDescent="0.3">
      <c r="A106" t="s">
        <v>123</v>
      </c>
      <c r="B106">
        <v>38961</v>
      </c>
      <c r="C106">
        <v>207.8</v>
      </c>
      <c r="D106">
        <v>0.6545356041540018</v>
      </c>
    </row>
    <row r="107" spans="1:4" x14ac:dyDescent="0.3">
      <c r="A107" t="s">
        <v>124</v>
      </c>
      <c r="B107">
        <v>38991</v>
      </c>
      <c r="C107">
        <v>207.1</v>
      </c>
      <c r="D107">
        <v>0.65233072002066295</v>
      </c>
    </row>
    <row r="108" spans="1:4" x14ac:dyDescent="0.3">
      <c r="A108" t="s">
        <v>125</v>
      </c>
      <c r="B108">
        <v>39022</v>
      </c>
      <c r="C108">
        <v>206.3</v>
      </c>
      <c r="D108">
        <v>0.64981085243970438</v>
      </c>
    </row>
    <row r="109" spans="1:4" x14ac:dyDescent="0.3">
      <c r="A109" t="s">
        <v>126</v>
      </c>
      <c r="B109">
        <v>39052</v>
      </c>
      <c r="C109">
        <v>206.2</v>
      </c>
      <c r="D109">
        <v>0.64949586899208445</v>
      </c>
    </row>
    <row r="110" spans="1:4" x14ac:dyDescent="0.3">
      <c r="A110" t="s">
        <v>127</v>
      </c>
      <c r="B110">
        <v>39083</v>
      </c>
      <c r="C110">
        <v>207.79</v>
      </c>
      <c r="D110">
        <v>0.65450410580923979</v>
      </c>
    </row>
    <row r="111" spans="1:4" x14ac:dyDescent="0.3">
      <c r="A111" t="s">
        <v>128</v>
      </c>
      <c r="B111">
        <v>39114</v>
      </c>
      <c r="C111">
        <v>208.995</v>
      </c>
      <c r="D111">
        <v>0.65829965635305876</v>
      </c>
    </row>
    <row r="112" spans="1:4" x14ac:dyDescent="0.3">
      <c r="A112" t="s">
        <v>129</v>
      </c>
      <c r="B112">
        <v>39142</v>
      </c>
      <c r="C112">
        <v>210.77799999999999</v>
      </c>
      <c r="D112">
        <v>0.66391581122412024</v>
      </c>
    </row>
    <row r="113" spans="1:4" x14ac:dyDescent="0.3">
      <c r="A113" t="s">
        <v>130</v>
      </c>
      <c r="B113">
        <v>39173</v>
      </c>
      <c r="C113">
        <v>212.036</v>
      </c>
      <c r="D113">
        <v>0.6678783029951777</v>
      </c>
    </row>
    <row r="114" spans="1:4" x14ac:dyDescent="0.3">
      <c r="A114" t="s">
        <v>131</v>
      </c>
      <c r="B114">
        <v>39203</v>
      </c>
      <c r="C114">
        <v>213.06299999999999</v>
      </c>
      <c r="D114">
        <v>0.67111318300223322</v>
      </c>
    </row>
    <row r="115" spans="1:4" x14ac:dyDescent="0.3">
      <c r="A115" t="s">
        <v>132</v>
      </c>
      <c r="B115">
        <v>39234</v>
      </c>
      <c r="C115">
        <v>212.68</v>
      </c>
      <c r="D115">
        <v>0.66990679639784934</v>
      </c>
    </row>
    <row r="116" spans="1:4" x14ac:dyDescent="0.3">
      <c r="A116" t="s">
        <v>133</v>
      </c>
      <c r="B116">
        <v>39264</v>
      </c>
      <c r="C116">
        <v>212.542</v>
      </c>
      <c r="D116">
        <v>0.66947211924013394</v>
      </c>
    </row>
    <row r="117" spans="1:4" x14ac:dyDescent="0.3">
      <c r="A117" t="s">
        <v>134</v>
      </c>
      <c r="B117">
        <v>39295</v>
      </c>
      <c r="C117">
        <v>212.40600000000001</v>
      </c>
      <c r="D117">
        <v>0.66904374175137105</v>
      </c>
    </row>
    <row r="118" spans="1:4" x14ac:dyDescent="0.3">
      <c r="A118" t="s">
        <v>135</v>
      </c>
      <c r="B118">
        <v>39326</v>
      </c>
      <c r="C118">
        <v>212.92</v>
      </c>
      <c r="D118">
        <v>0.67066275667213693</v>
      </c>
    </row>
    <row r="119" spans="1:4" x14ac:dyDescent="0.3">
      <c r="A119" t="s">
        <v>136</v>
      </c>
      <c r="B119">
        <v>39356</v>
      </c>
      <c r="C119">
        <v>213.917</v>
      </c>
      <c r="D119">
        <v>0.67380314164490662</v>
      </c>
    </row>
    <row r="120" spans="1:4" x14ac:dyDescent="0.3">
      <c r="A120" t="s">
        <v>137</v>
      </c>
      <c r="B120">
        <v>39387</v>
      </c>
      <c r="C120">
        <v>214.904</v>
      </c>
      <c r="D120">
        <v>0.6769120282729143</v>
      </c>
    </row>
    <row r="121" spans="1:4" x14ac:dyDescent="0.3">
      <c r="A121" t="s">
        <v>138</v>
      </c>
      <c r="B121">
        <v>39417</v>
      </c>
      <c r="C121">
        <v>214.733</v>
      </c>
      <c r="D121">
        <v>0.67637340657748446</v>
      </c>
    </row>
    <row r="122" spans="1:4" x14ac:dyDescent="0.3">
      <c r="A122" t="s">
        <v>139</v>
      </c>
      <c r="B122">
        <v>39448</v>
      </c>
      <c r="C122">
        <v>215.739</v>
      </c>
      <c r="D122">
        <v>0.67954214006053992</v>
      </c>
    </row>
    <row r="123" spans="1:4" x14ac:dyDescent="0.3">
      <c r="A123" t="s">
        <v>140</v>
      </c>
      <c r="B123">
        <v>39479</v>
      </c>
      <c r="C123">
        <v>216.339</v>
      </c>
      <c r="D123">
        <v>0.68143204074625885</v>
      </c>
    </row>
    <row r="124" spans="1:4" x14ac:dyDescent="0.3">
      <c r="A124" t="s">
        <v>141</v>
      </c>
      <c r="B124">
        <v>39508</v>
      </c>
      <c r="C124">
        <v>218.53299999999999</v>
      </c>
      <c r="D124">
        <v>0.68834277758703777</v>
      </c>
    </row>
    <row r="125" spans="1:4" x14ac:dyDescent="0.3">
      <c r="A125" t="s">
        <v>142</v>
      </c>
      <c r="B125">
        <v>39539</v>
      </c>
      <c r="C125">
        <v>219.43700000000001</v>
      </c>
      <c r="D125">
        <v>0.69119022795352114</v>
      </c>
    </row>
    <row r="126" spans="1:4" x14ac:dyDescent="0.3">
      <c r="A126" t="s">
        <v>143</v>
      </c>
      <c r="B126">
        <v>39569</v>
      </c>
      <c r="C126">
        <v>221.00899999999999</v>
      </c>
      <c r="D126">
        <v>0.69614176775010472</v>
      </c>
    </row>
    <row r="127" spans="1:4" x14ac:dyDescent="0.3">
      <c r="A127" t="s">
        <v>144</v>
      </c>
      <c r="B127">
        <v>39600</v>
      </c>
      <c r="C127">
        <v>223.04</v>
      </c>
      <c r="D127">
        <v>0.70253908157126344</v>
      </c>
    </row>
    <row r="128" spans="1:4" x14ac:dyDescent="0.3">
      <c r="A128" t="s">
        <v>145</v>
      </c>
      <c r="B128">
        <v>39630</v>
      </c>
      <c r="C128">
        <v>223.86699999999999</v>
      </c>
      <c r="D128">
        <v>0.70514399468307942</v>
      </c>
    </row>
    <row r="129" spans="1:4" x14ac:dyDescent="0.3">
      <c r="A129" t="s">
        <v>146</v>
      </c>
      <c r="B129">
        <v>39661</v>
      </c>
      <c r="C129">
        <v>222.82300000000001</v>
      </c>
      <c r="D129">
        <v>0.7018555674899285</v>
      </c>
    </row>
    <row r="130" spans="1:4" x14ac:dyDescent="0.3">
      <c r="A130" t="s">
        <v>147</v>
      </c>
      <c r="B130">
        <v>39692</v>
      </c>
      <c r="C130">
        <v>222.13200000000001</v>
      </c>
      <c r="D130">
        <v>0.69967903186687541</v>
      </c>
    </row>
    <row r="131" spans="1:4" x14ac:dyDescent="0.3">
      <c r="A131" t="s">
        <v>148</v>
      </c>
      <c r="B131">
        <v>39722</v>
      </c>
      <c r="C131">
        <v>221.03399999999999</v>
      </c>
      <c r="D131">
        <v>0.69622051361200976</v>
      </c>
    </row>
    <row r="132" spans="1:4" x14ac:dyDescent="0.3">
      <c r="A132" t="s">
        <v>149</v>
      </c>
      <c r="B132">
        <v>39753</v>
      </c>
      <c r="C132">
        <v>217.113</v>
      </c>
      <c r="D132">
        <v>0.68387001263083635</v>
      </c>
    </row>
    <row r="133" spans="1:4" x14ac:dyDescent="0.3">
      <c r="A133" t="s">
        <v>150</v>
      </c>
      <c r="B133">
        <v>39783</v>
      </c>
      <c r="C133">
        <v>214.685</v>
      </c>
      <c r="D133">
        <v>0.67622221452262687</v>
      </c>
    </row>
    <row r="134" spans="1:4" x14ac:dyDescent="0.3">
      <c r="A134" t="s">
        <v>151</v>
      </c>
      <c r="B134">
        <v>39814</v>
      </c>
      <c r="C134">
        <v>215.923</v>
      </c>
      <c r="D134">
        <v>0.68012170960416041</v>
      </c>
    </row>
    <row r="135" spans="1:4" x14ac:dyDescent="0.3">
      <c r="A135" t="s">
        <v>152</v>
      </c>
      <c r="B135">
        <v>39845</v>
      </c>
      <c r="C135">
        <v>217.095</v>
      </c>
      <c r="D135">
        <v>0.6838133156102647</v>
      </c>
    </row>
    <row r="136" spans="1:4" x14ac:dyDescent="0.3">
      <c r="A136" t="s">
        <v>153</v>
      </c>
      <c r="B136">
        <v>39873</v>
      </c>
      <c r="C136">
        <v>217.357</v>
      </c>
      <c r="D136">
        <v>0.68463857224302871</v>
      </c>
    </row>
    <row r="137" spans="1:4" x14ac:dyDescent="0.3">
      <c r="A137" t="s">
        <v>154</v>
      </c>
      <c r="B137">
        <v>39904</v>
      </c>
      <c r="C137">
        <v>217.91</v>
      </c>
      <c r="D137">
        <v>0.6863804307083663</v>
      </c>
    </row>
    <row r="138" spans="1:4" x14ac:dyDescent="0.3">
      <c r="A138" t="s">
        <v>155</v>
      </c>
      <c r="B138">
        <v>39934</v>
      </c>
      <c r="C138">
        <v>218.56700000000001</v>
      </c>
      <c r="D138">
        <v>0.68844987195922858</v>
      </c>
    </row>
    <row r="139" spans="1:4" x14ac:dyDescent="0.3">
      <c r="A139" t="s">
        <v>156</v>
      </c>
      <c r="B139">
        <v>39965</v>
      </c>
      <c r="C139">
        <v>219.86500000000001</v>
      </c>
      <c r="D139">
        <v>0.69253835710933398</v>
      </c>
    </row>
    <row r="140" spans="1:4" x14ac:dyDescent="0.3">
      <c r="A140" t="s">
        <v>157</v>
      </c>
      <c r="B140">
        <v>39995</v>
      </c>
      <c r="C140">
        <v>219.48400000000001</v>
      </c>
      <c r="D140">
        <v>0.69133827017390248</v>
      </c>
    </row>
    <row r="141" spans="1:4" x14ac:dyDescent="0.3">
      <c r="A141" t="s">
        <v>158</v>
      </c>
      <c r="B141">
        <v>40026</v>
      </c>
      <c r="C141">
        <v>219.88399999999999</v>
      </c>
      <c r="D141">
        <v>0.69259820396438165</v>
      </c>
    </row>
    <row r="142" spans="1:4" x14ac:dyDescent="0.3">
      <c r="A142" t="s">
        <v>159</v>
      </c>
      <c r="B142">
        <v>40057</v>
      </c>
      <c r="C142">
        <v>220.29400000000001</v>
      </c>
      <c r="D142">
        <v>0.69388963609962306</v>
      </c>
    </row>
    <row r="143" spans="1:4" x14ac:dyDescent="0.3">
      <c r="A143" t="s">
        <v>160</v>
      </c>
      <c r="B143">
        <v>40087</v>
      </c>
      <c r="C143">
        <v>220.447</v>
      </c>
      <c r="D143">
        <v>0.69437156077448137</v>
      </c>
    </row>
    <row r="144" spans="1:4" x14ac:dyDescent="0.3">
      <c r="A144" t="s">
        <v>161</v>
      </c>
      <c r="B144">
        <v>40118</v>
      </c>
      <c r="C144">
        <v>219.72800000000001</v>
      </c>
      <c r="D144">
        <v>0.69210682978609483</v>
      </c>
    </row>
    <row r="145" spans="1:4" x14ac:dyDescent="0.3">
      <c r="A145" t="s">
        <v>162</v>
      </c>
      <c r="B145">
        <v>40148</v>
      </c>
      <c r="C145">
        <v>219.30699999999999</v>
      </c>
      <c r="D145">
        <v>0.69078074947161527</v>
      </c>
    </row>
    <row r="146" spans="1:4" x14ac:dyDescent="0.3">
      <c r="A146" t="s">
        <v>163</v>
      </c>
      <c r="B146">
        <v>40179</v>
      </c>
      <c r="C146">
        <v>219.989</v>
      </c>
      <c r="D146">
        <v>0.69292893658438259</v>
      </c>
    </row>
    <row r="147" spans="1:4" x14ac:dyDescent="0.3">
      <c r="A147" t="s">
        <v>164</v>
      </c>
      <c r="B147">
        <v>40210</v>
      </c>
      <c r="C147">
        <v>220.179</v>
      </c>
      <c r="D147">
        <v>0.69352740513486022</v>
      </c>
    </row>
    <row r="148" spans="1:4" x14ac:dyDescent="0.3">
      <c r="A148" t="s">
        <v>165</v>
      </c>
      <c r="B148">
        <v>40238</v>
      </c>
      <c r="C148">
        <v>220.809</v>
      </c>
      <c r="D148">
        <v>0.69551180085486508</v>
      </c>
    </row>
    <row r="149" spans="1:4" x14ac:dyDescent="0.3">
      <c r="A149" t="s">
        <v>166</v>
      </c>
      <c r="B149">
        <v>40269</v>
      </c>
      <c r="C149">
        <v>221.202</v>
      </c>
      <c r="D149">
        <v>0.69674968580401109</v>
      </c>
    </row>
    <row r="150" spans="1:4" x14ac:dyDescent="0.3">
      <c r="A150" t="s">
        <v>167</v>
      </c>
      <c r="B150">
        <v>40299</v>
      </c>
      <c r="C150">
        <v>221.417</v>
      </c>
      <c r="D150">
        <v>0.69742690021639364</v>
      </c>
    </row>
    <row r="151" spans="1:4" x14ac:dyDescent="0.3">
      <c r="A151" t="s">
        <v>168</v>
      </c>
      <c r="B151">
        <v>40330</v>
      </c>
      <c r="C151">
        <v>221.14699999999999</v>
      </c>
      <c r="D151">
        <v>0.69657644490782011</v>
      </c>
    </row>
    <row r="152" spans="1:4" x14ac:dyDescent="0.3">
      <c r="A152" t="s">
        <v>169</v>
      </c>
      <c r="B152">
        <v>40360</v>
      </c>
      <c r="C152">
        <v>221.33099999999999</v>
      </c>
      <c r="D152">
        <v>0.6971560144514406</v>
      </c>
    </row>
    <row r="153" spans="1:4" x14ac:dyDescent="0.3">
      <c r="A153" t="s">
        <v>170</v>
      </c>
      <c r="B153">
        <v>40391</v>
      </c>
      <c r="C153">
        <v>221.523</v>
      </c>
      <c r="D153">
        <v>0.69776078267087072</v>
      </c>
    </row>
    <row r="154" spans="1:4" x14ac:dyDescent="0.3">
      <c r="A154" t="s">
        <v>171</v>
      </c>
      <c r="B154">
        <v>40422</v>
      </c>
      <c r="C154">
        <v>221.38399999999999</v>
      </c>
      <c r="D154">
        <v>0.69732295567867908</v>
      </c>
    </row>
    <row r="155" spans="1:4" x14ac:dyDescent="0.3">
      <c r="A155" t="s">
        <v>172</v>
      </c>
      <c r="B155">
        <v>40452</v>
      </c>
      <c r="C155">
        <v>221.708</v>
      </c>
      <c r="D155">
        <v>0.69834350204896734</v>
      </c>
    </row>
    <row r="156" spans="1:4" x14ac:dyDescent="0.3">
      <c r="A156" t="s">
        <v>173</v>
      </c>
      <c r="B156">
        <v>40483</v>
      </c>
      <c r="C156">
        <v>221.67099999999999</v>
      </c>
      <c r="D156">
        <v>0.69822695817334801</v>
      </c>
    </row>
    <row r="157" spans="1:4" x14ac:dyDescent="0.3">
      <c r="A157" t="s">
        <v>174</v>
      </c>
      <c r="B157">
        <v>40513</v>
      </c>
      <c r="C157">
        <v>222.08099999999999</v>
      </c>
      <c r="D157">
        <v>0.69951839030858931</v>
      </c>
    </row>
    <row r="158" spans="1:4" x14ac:dyDescent="0.3">
      <c r="A158" t="s">
        <v>175</v>
      </c>
      <c r="B158">
        <v>40544</v>
      </c>
      <c r="C158">
        <v>223.149</v>
      </c>
      <c r="D158">
        <v>0.70288241352916914</v>
      </c>
    </row>
    <row r="159" spans="1:4" x14ac:dyDescent="0.3">
      <c r="A159" t="s">
        <v>176</v>
      </c>
      <c r="B159">
        <v>40575</v>
      </c>
      <c r="C159">
        <v>224.43100000000001</v>
      </c>
      <c r="D159">
        <v>0.70692050132765527</v>
      </c>
    </row>
    <row r="160" spans="1:4" x14ac:dyDescent="0.3">
      <c r="A160" t="s">
        <v>177</v>
      </c>
      <c r="B160">
        <v>40603</v>
      </c>
      <c r="C160">
        <v>226.55799999999999</v>
      </c>
      <c r="D160">
        <v>0.71362019925852904</v>
      </c>
    </row>
    <row r="161" spans="1:4" x14ac:dyDescent="0.3">
      <c r="A161" t="s">
        <v>178</v>
      </c>
      <c r="B161">
        <v>40634</v>
      </c>
      <c r="C161">
        <v>227.83699999999999</v>
      </c>
      <c r="D161">
        <v>0.71764883755358655</v>
      </c>
    </row>
    <row r="162" spans="1:4" x14ac:dyDescent="0.3">
      <c r="A162" t="s">
        <v>179</v>
      </c>
      <c r="B162">
        <v>40664</v>
      </c>
      <c r="C162">
        <v>228.51599999999999</v>
      </c>
      <c r="D162">
        <v>0.71978757516292524</v>
      </c>
    </row>
    <row r="163" spans="1:4" x14ac:dyDescent="0.3">
      <c r="A163" t="s">
        <v>180</v>
      </c>
      <c r="B163">
        <v>40695</v>
      </c>
      <c r="C163">
        <v>228.07499999999999</v>
      </c>
      <c r="D163">
        <v>0.71839849815892176</v>
      </c>
    </row>
    <row r="164" spans="1:4" x14ac:dyDescent="0.3">
      <c r="A164" t="s">
        <v>181</v>
      </c>
      <c r="B164">
        <v>40725</v>
      </c>
      <c r="C164">
        <v>227.80500000000001</v>
      </c>
      <c r="D164">
        <v>0.71754804285034834</v>
      </c>
    </row>
    <row r="165" spans="1:4" x14ac:dyDescent="0.3">
      <c r="A165" t="s">
        <v>182</v>
      </c>
      <c r="B165">
        <v>40756</v>
      </c>
      <c r="C165">
        <v>228.22200000000001</v>
      </c>
      <c r="D165">
        <v>0.71886152382692303</v>
      </c>
    </row>
    <row r="166" spans="1:4" x14ac:dyDescent="0.3">
      <c r="A166" t="s">
        <v>183</v>
      </c>
      <c r="B166">
        <v>40787</v>
      </c>
      <c r="C166">
        <v>229.14699999999999</v>
      </c>
      <c r="D166">
        <v>0.72177512071740635</v>
      </c>
    </row>
    <row r="167" spans="1:4" x14ac:dyDescent="0.3">
      <c r="A167" t="s">
        <v>184</v>
      </c>
      <c r="B167">
        <v>40817</v>
      </c>
      <c r="C167">
        <v>229.19499999999999</v>
      </c>
      <c r="D167">
        <v>0.72192631277226382</v>
      </c>
    </row>
    <row r="168" spans="1:4" x14ac:dyDescent="0.3">
      <c r="A168" t="s">
        <v>185</v>
      </c>
      <c r="B168">
        <v>40848</v>
      </c>
      <c r="C168">
        <v>228.77099999999999</v>
      </c>
      <c r="D168">
        <v>0.72059078295435575</v>
      </c>
    </row>
    <row r="169" spans="1:4" x14ac:dyDescent="0.3">
      <c r="A169" t="s">
        <v>186</v>
      </c>
      <c r="B169">
        <v>40878</v>
      </c>
      <c r="C169">
        <v>228.11699999999999</v>
      </c>
      <c r="D169">
        <v>0.71853079120692209</v>
      </c>
    </row>
    <row r="170" spans="1:4" x14ac:dyDescent="0.3">
      <c r="A170" t="s">
        <v>187</v>
      </c>
      <c r="B170">
        <v>40909</v>
      </c>
      <c r="C170">
        <v>228.98</v>
      </c>
      <c r="D170">
        <v>0.72124909835988116</v>
      </c>
    </row>
    <row r="171" spans="1:4" x14ac:dyDescent="0.3">
      <c r="A171" t="s">
        <v>188</v>
      </c>
      <c r="B171">
        <v>40940</v>
      </c>
      <c r="C171">
        <v>229.995</v>
      </c>
      <c r="D171">
        <v>0.7244461803532225</v>
      </c>
    </row>
    <row r="172" spans="1:4" x14ac:dyDescent="0.3">
      <c r="A172" t="s">
        <v>189</v>
      </c>
      <c r="B172">
        <v>40969</v>
      </c>
      <c r="C172">
        <v>232.03899999999999</v>
      </c>
      <c r="D172">
        <v>0.73088444202257175</v>
      </c>
    </row>
    <row r="173" spans="1:4" x14ac:dyDescent="0.3">
      <c r="A173" t="s">
        <v>190</v>
      </c>
      <c r="B173">
        <v>41000</v>
      </c>
      <c r="C173">
        <v>232.56100000000001</v>
      </c>
      <c r="D173">
        <v>0.73252865561914726</v>
      </c>
    </row>
    <row r="174" spans="1:4" x14ac:dyDescent="0.3">
      <c r="A174" t="s">
        <v>191</v>
      </c>
      <c r="B174">
        <v>41030</v>
      </c>
      <c r="C174">
        <v>233.053</v>
      </c>
      <c r="D174">
        <v>0.73407837418143684</v>
      </c>
    </row>
    <row r="175" spans="1:4" x14ac:dyDescent="0.3">
      <c r="A175" t="s">
        <v>192</v>
      </c>
      <c r="B175">
        <v>41061</v>
      </c>
      <c r="C175">
        <v>232.70099999999999</v>
      </c>
      <c r="D175">
        <v>0.73296963244581503</v>
      </c>
    </row>
    <row r="176" spans="1:4" x14ac:dyDescent="0.3">
      <c r="A176" t="s">
        <v>193</v>
      </c>
      <c r="B176">
        <v>41091</v>
      </c>
      <c r="C176">
        <v>231.893</v>
      </c>
      <c r="D176">
        <v>0.73042456618904683</v>
      </c>
    </row>
    <row r="177" spans="1:4" x14ac:dyDescent="0.3">
      <c r="A177" t="s">
        <v>194</v>
      </c>
      <c r="B177">
        <v>41122</v>
      </c>
      <c r="C177">
        <v>233.001</v>
      </c>
      <c r="D177">
        <v>0.7339145827886745</v>
      </c>
    </row>
    <row r="178" spans="1:4" x14ac:dyDescent="0.3">
      <c r="A178" t="s">
        <v>195</v>
      </c>
      <c r="B178">
        <v>41153</v>
      </c>
      <c r="C178">
        <v>234.083</v>
      </c>
      <c r="D178">
        <v>0.73732270369192099</v>
      </c>
    </row>
    <row r="179" spans="1:4" x14ac:dyDescent="0.3">
      <c r="A179" t="s">
        <v>196</v>
      </c>
      <c r="B179">
        <v>41183</v>
      </c>
      <c r="C179">
        <v>234.96600000000001</v>
      </c>
      <c r="D179">
        <v>0.7401040075344042</v>
      </c>
    </row>
    <row r="180" spans="1:4" x14ac:dyDescent="0.3">
      <c r="A180" t="s">
        <v>197</v>
      </c>
      <c r="B180">
        <v>41214</v>
      </c>
      <c r="C180">
        <v>233.20599999999999</v>
      </c>
      <c r="D180">
        <v>0.73456029885629515</v>
      </c>
    </row>
    <row r="181" spans="1:4" x14ac:dyDescent="0.3">
      <c r="A181" t="s">
        <v>198</v>
      </c>
      <c r="B181">
        <v>41244</v>
      </c>
      <c r="C181">
        <v>232.029</v>
      </c>
      <c r="D181">
        <v>0.73085294367780973</v>
      </c>
    </row>
    <row r="182" spans="1:4" x14ac:dyDescent="0.3">
      <c r="A182" t="s">
        <v>199</v>
      </c>
      <c r="B182">
        <v>41275</v>
      </c>
      <c r="C182">
        <v>232.75899999999999</v>
      </c>
      <c r="D182">
        <v>0.73315232284543452</v>
      </c>
    </row>
    <row r="183" spans="1:4" x14ac:dyDescent="0.3">
      <c r="A183" t="s">
        <v>200</v>
      </c>
      <c r="B183">
        <v>41306</v>
      </c>
      <c r="C183">
        <v>234.595</v>
      </c>
      <c r="D183">
        <v>0.7389354189437346</v>
      </c>
    </row>
    <row r="184" spans="1:4" x14ac:dyDescent="0.3">
      <c r="A184" t="s">
        <v>201</v>
      </c>
      <c r="B184">
        <v>41334</v>
      </c>
      <c r="C184">
        <v>235.511</v>
      </c>
      <c r="D184">
        <v>0.74182066732393215</v>
      </c>
    </row>
    <row r="185" spans="1:4" x14ac:dyDescent="0.3">
      <c r="A185" t="s">
        <v>202</v>
      </c>
      <c r="B185">
        <v>41365</v>
      </c>
      <c r="C185">
        <v>235.488</v>
      </c>
      <c r="D185">
        <v>0.7417482211309796</v>
      </c>
    </row>
    <row r="186" spans="1:4" x14ac:dyDescent="0.3">
      <c r="A186" t="s">
        <v>203</v>
      </c>
      <c r="B186">
        <v>41395</v>
      </c>
      <c r="C186">
        <v>235.97900000000001</v>
      </c>
      <c r="D186">
        <v>0.74329478985879305</v>
      </c>
    </row>
    <row r="187" spans="1:4" x14ac:dyDescent="0.3">
      <c r="A187" t="s">
        <v>204</v>
      </c>
      <c r="B187">
        <v>41426</v>
      </c>
      <c r="C187">
        <v>236.227</v>
      </c>
      <c r="D187">
        <v>0.74407594880889016</v>
      </c>
    </row>
    <row r="188" spans="1:4" x14ac:dyDescent="0.3">
      <c r="A188" t="s">
        <v>205</v>
      </c>
      <c r="B188">
        <v>41456</v>
      </c>
      <c r="C188">
        <v>236.34100000000001</v>
      </c>
      <c r="D188">
        <v>0.74443502993917676</v>
      </c>
    </row>
    <row r="189" spans="1:4" x14ac:dyDescent="0.3">
      <c r="A189" t="s">
        <v>206</v>
      </c>
      <c r="B189">
        <v>41487</v>
      </c>
      <c r="C189">
        <v>236.59100000000001</v>
      </c>
      <c r="D189">
        <v>0.74522248855822637</v>
      </c>
    </row>
    <row r="190" spans="1:4" x14ac:dyDescent="0.3">
      <c r="A190" t="s">
        <v>207</v>
      </c>
      <c r="B190">
        <v>41518</v>
      </c>
      <c r="C190">
        <v>237.14599999999999</v>
      </c>
      <c r="D190">
        <v>0.74697064669251634</v>
      </c>
    </row>
    <row r="191" spans="1:4" x14ac:dyDescent="0.3">
      <c r="A191" t="s">
        <v>208</v>
      </c>
      <c r="B191">
        <v>41548</v>
      </c>
      <c r="C191">
        <v>237</v>
      </c>
      <c r="D191">
        <v>0.74651077085899142</v>
      </c>
    </row>
    <row r="192" spans="1:4" x14ac:dyDescent="0.3">
      <c r="A192" t="s">
        <v>209</v>
      </c>
      <c r="B192">
        <v>41579</v>
      </c>
      <c r="C192">
        <v>236.15299999999999</v>
      </c>
      <c r="D192">
        <v>0.74384286105765141</v>
      </c>
    </row>
    <row r="193" spans="1:4" x14ac:dyDescent="0.3">
      <c r="A193" t="s">
        <v>210</v>
      </c>
      <c r="B193">
        <v>41609</v>
      </c>
      <c r="C193">
        <v>236.096</v>
      </c>
      <c r="D193">
        <v>0.74366332049250816</v>
      </c>
    </row>
    <row r="194" spans="1:4" x14ac:dyDescent="0.3">
      <c r="A194" t="s">
        <v>211</v>
      </c>
      <c r="B194">
        <v>41640</v>
      </c>
      <c r="C194">
        <v>236.70699999999999</v>
      </c>
      <c r="D194">
        <v>0.74558786935746535</v>
      </c>
    </row>
    <row r="195" spans="1:4" x14ac:dyDescent="0.3">
      <c r="A195" t="s">
        <v>212</v>
      </c>
      <c r="B195">
        <v>41671</v>
      </c>
      <c r="C195">
        <v>237.614</v>
      </c>
      <c r="D195">
        <v>0.74844476922737713</v>
      </c>
    </row>
    <row r="196" spans="1:4" x14ac:dyDescent="0.3">
      <c r="A196" t="s">
        <v>213</v>
      </c>
      <c r="B196">
        <v>41699</v>
      </c>
      <c r="C196">
        <v>239.09200000000001</v>
      </c>
      <c r="D196">
        <v>0.75310022458319825</v>
      </c>
    </row>
    <row r="197" spans="1:4" x14ac:dyDescent="0.3">
      <c r="A197" t="s">
        <v>214</v>
      </c>
      <c r="B197">
        <v>41730</v>
      </c>
      <c r="C197">
        <v>239.80799999999999</v>
      </c>
      <c r="D197">
        <v>0.75535550606815616</v>
      </c>
    </row>
    <row r="198" spans="1:4" x14ac:dyDescent="0.3">
      <c r="A198" t="s">
        <v>215</v>
      </c>
      <c r="B198">
        <v>41760</v>
      </c>
      <c r="C198">
        <v>241.35</v>
      </c>
      <c r="D198">
        <v>0.76021255083045391</v>
      </c>
    </row>
    <row r="199" spans="1:4" x14ac:dyDescent="0.3">
      <c r="A199" t="s">
        <v>216</v>
      </c>
      <c r="B199">
        <v>41791</v>
      </c>
      <c r="C199">
        <v>241.61600000000001</v>
      </c>
      <c r="D199">
        <v>0.76105040680112268</v>
      </c>
    </row>
    <row r="200" spans="1:4" x14ac:dyDescent="0.3">
      <c r="A200" t="s">
        <v>217</v>
      </c>
      <c r="B200">
        <v>41821</v>
      </c>
      <c r="C200">
        <v>241.85</v>
      </c>
      <c r="D200">
        <v>0.76178746806855302</v>
      </c>
    </row>
    <row r="201" spans="1:4" x14ac:dyDescent="0.3">
      <c r="A201" t="s">
        <v>218</v>
      </c>
      <c r="B201">
        <v>41852</v>
      </c>
      <c r="C201">
        <v>241.66</v>
      </c>
      <c r="D201">
        <v>0.76118899951807539</v>
      </c>
    </row>
    <row r="202" spans="1:4" x14ac:dyDescent="0.3">
      <c r="A202" t="s">
        <v>219</v>
      </c>
      <c r="B202">
        <v>41883</v>
      </c>
      <c r="C202">
        <v>241.92</v>
      </c>
      <c r="D202">
        <v>0.76200795648188691</v>
      </c>
    </row>
    <row r="203" spans="1:4" x14ac:dyDescent="0.3">
      <c r="A203" t="s">
        <v>220</v>
      </c>
      <c r="B203">
        <v>41913</v>
      </c>
      <c r="C203">
        <v>241.65</v>
      </c>
      <c r="D203">
        <v>0.76115750117331338</v>
      </c>
    </row>
    <row r="204" spans="1:4" x14ac:dyDescent="0.3">
      <c r="A204" t="s">
        <v>221</v>
      </c>
      <c r="B204">
        <v>41944</v>
      </c>
      <c r="C204">
        <v>240.22</v>
      </c>
      <c r="D204">
        <v>0.75665323787234984</v>
      </c>
    </row>
    <row r="205" spans="1:4" x14ac:dyDescent="0.3">
      <c r="A205" t="s">
        <v>222</v>
      </c>
      <c r="B205">
        <v>41974</v>
      </c>
      <c r="C205">
        <v>239.095</v>
      </c>
      <c r="D205">
        <v>0.75310967408662677</v>
      </c>
    </row>
    <row r="206" spans="1:4" x14ac:dyDescent="0.3">
      <c r="A206" t="s">
        <v>223</v>
      </c>
      <c r="B206">
        <v>42005</v>
      </c>
      <c r="C206">
        <v>238.31800000000001</v>
      </c>
      <c r="D206">
        <v>0.75066225269862075</v>
      </c>
    </row>
    <row r="207" spans="1:4" x14ac:dyDescent="0.3">
      <c r="A207" t="s">
        <v>224</v>
      </c>
      <c r="B207">
        <v>42036</v>
      </c>
      <c r="C207">
        <v>239.74799999999999</v>
      </c>
      <c r="D207">
        <v>0.75516651599958429</v>
      </c>
    </row>
    <row r="208" spans="1:4" x14ac:dyDescent="0.3">
      <c r="A208" t="s">
        <v>225</v>
      </c>
      <c r="B208">
        <v>42064</v>
      </c>
      <c r="C208">
        <v>241.69</v>
      </c>
      <c r="D208">
        <v>0.76128349455236133</v>
      </c>
    </row>
    <row r="209" spans="1:4" x14ac:dyDescent="0.3">
      <c r="A209" t="s">
        <v>226</v>
      </c>
      <c r="B209">
        <v>42095</v>
      </c>
      <c r="C209">
        <v>242.30199999999999</v>
      </c>
      <c r="D209">
        <v>0.76321119325179465</v>
      </c>
    </row>
    <row r="210" spans="1:4" x14ac:dyDescent="0.3">
      <c r="A210" t="s">
        <v>227</v>
      </c>
      <c r="B210">
        <v>42125</v>
      </c>
      <c r="C210">
        <v>244.227</v>
      </c>
      <c r="D210">
        <v>0.7692746246184764</v>
      </c>
    </row>
    <row r="211" spans="1:4" x14ac:dyDescent="0.3">
      <c r="A211" t="s">
        <v>228</v>
      </c>
      <c r="B211">
        <v>42156</v>
      </c>
      <c r="C211">
        <v>244.33199999999999</v>
      </c>
      <c r="D211">
        <v>0.76960535723847712</v>
      </c>
    </row>
    <row r="212" spans="1:4" x14ac:dyDescent="0.3">
      <c r="A212" t="s">
        <v>229</v>
      </c>
      <c r="B212">
        <v>42186</v>
      </c>
      <c r="C212">
        <v>245.04</v>
      </c>
      <c r="D212">
        <v>0.7718354400476255</v>
      </c>
    </row>
    <row r="213" spans="1:4" x14ac:dyDescent="0.3">
      <c r="A213" t="s">
        <v>230</v>
      </c>
      <c r="B213">
        <v>42217</v>
      </c>
      <c r="C213">
        <v>244.73699999999999</v>
      </c>
      <c r="D213">
        <v>0.77088104020133741</v>
      </c>
    </row>
    <row r="214" spans="1:4" x14ac:dyDescent="0.3">
      <c r="A214" t="s">
        <v>231</v>
      </c>
      <c r="B214">
        <v>42248</v>
      </c>
      <c r="C214">
        <v>244.25700000000001</v>
      </c>
      <c r="D214">
        <v>0.76936911965276233</v>
      </c>
    </row>
    <row r="215" spans="1:4" x14ac:dyDescent="0.3">
      <c r="A215" t="s">
        <v>232</v>
      </c>
      <c r="B215">
        <v>42278</v>
      </c>
      <c r="C215">
        <v>244.34100000000001</v>
      </c>
      <c r="D215">
        <v>0.769633705748763</v>
      </c>
    </row>
    <row r="216" spans="1:4" x14ac:dyDescent="0.3">
      <c r="A216" t="s">
        <v>233</v>
      </c>
      <c r="B216">
        <v>42309</v>
      </c>
      <c r="C216">
        <v>243.749</v>
      </c>
      <c r="D216">
        <v>0.76776900373885359</v>
      </c>
    </row>
    <row r="217" spans="1:4" x14ac:dyDescent="0.3">
      <c r="A217" t="s">
        <v>234</v>
      </c>
      <c r="B217">
        <v>42339</v>
      </c>
      <c r="C217">
        <v>243.434</v>
      </c>
      <c r="D217">
        <v>0.76677680587885111</v>
      </c>
    </row>
    <row r="218" spans="1:4" x14ac:dyDescent="0.3">
      <c r="A218" t="s">
        <v>235</v>
      </c>
      <c r="B218">
        <v>42370</v>
      </c>
      <c r="C218">
        <v>244.6</v>
      </c>
      <c r="D218">
        <v>0.77044951287809826</v>
      </c>
    </row>
    <row r="219" spans="1:4" x14ac:dyDescent="0.3">
      <c r="A219" t="s">
        <v>236</v>
      </c>
      <c r="B219">
        <v>42401</v>
      </c>
      <c r="C219">
        <v>244.821</v>
      </c>
      <c r="D219">
        <v>0.77114562629733818</v>
      </c>
    </row>
    <row r="220" spans="1:4" x14ac:dyDescent="0.3">
      <c r="A220" t="s">
        <v>237</v>
      </c>
      <c r="B220">
        <v>42430</v>
      </c>
      <c r="C220">
        <v>245.404</v>
      </c>
      <c r="D220">
        <v>0.7729819797969617</v>
      </c>
    </row>
    <row r="221" spans="1:4" x14ac:dyDescent="0.3">
      <c r="A221" t="s">
        <v>238</v>
      </c>
      <c r="B221">
        <v>42461</v>
      </c>
      <c r="C221">
        <v>246.589</v>
      </c>
      <c r="D221">
        <v>0.77671453365125664</v>
      </c>
    </row>
    <row r="222" spans="1:4" x14ac:dyDescent="0.3">
      <c r="A222" t="s">
        <v>239</v>
      </c>
      <c r="B222">
        <v>42491</v>
      </c>
      <c r="C222">
        <v>247.85499999999999</v>
      </c>
      <c r="D222">
        <v>0.78070222409812362</v>
      </c>
    </row>
    <row r="223" spans="1:4" x14ac:dyDescent="0.3">
      <c r="A223" t="s">
        <v>240</v>
      </c>
      <c r="B223">
        <v>42522</v>
      </c>
      <c r="C223">
        <v>248.22800000000001</v>
      </c>
      <c r="D223">
        <v>0.78187711235774571</v>
      </c>
    </row>
    <row r="224" spans="1:4" x14ac:dyDescent="0.3">
      <c r="A224" t="s">
        <v>241</v>
      </c>
      <c r="B224">
        <v>42552</v>
      </c>
      <c r="C224">
        <v>248.375</v>
      </c>
      <c r="D224">
        <v>0.78234013802574676</v>
      </c>
    </row>
    <row r="225" spans="1:4" x14ac:dyDescent="0.3">
      <c r="A225" t="s">
        <v>242</v>
      </c>
      <c r="B225">
        <v>42583</v>
      </c>
      <c r="C225">
        <v>248.49799999999999</v>
      </c>
      <c r="D225">
        <v>0.78272756766631912</v>
      </c>
    </row>
    <row r="226" spans="1:4" x14ac:dyDescent="0.3">
      <c r="A226" t="s">
        <v>243</v>
      </c>
      <c r="B226">
        <v>42614</v>
      </c>
      <c r="C226">
        <v>249.23400000000001</v>
      </c>
      <c r="D226">
        <v>0.78504584584080117</v>
      </c>
    </row>
    <row r="227" spans="1:4" x14ac:dyDescent="0.3">
      <c r="A227" t="s">
        <v>244</v>
      </c>
      <c r="B227">
        <v>42644</v>
      </c>
      <c r="C227">
        <v>249.89699999999999</v>
      </c>
      <c r="D227">
        <v>0.78713418609852059</v>
      </c>
    </row>
    <row r="228" spans="1:4" x14ac:dyDescent="0.3">
      <c r="A228" t="s">
        <v>245</v>
      </c>
      <c r="B228">
        <v>42675</v>
      </c>
      <c r="C228">
        <v>249.44800000000001</v>
      </c>
      <c r="D228">
        <v>0.78571991041870759</v>
      </c>
    </row>
    <row r="229" spans="1:4" x14ac:dyDescent="0.3">
      <c r="A229" t="s">
        <v>246</v>
      </c>
      <c r="B229">
        <v>42705</v>
      </c>
      <c r="C229">
        <v>249.51599999999999</v>
      </c>
      <c r="D229">
        <v>0.78593409916308898</v>
      </c>
    </row>
    <row r="230" spans="1:4" x14ac:dyDescent="0.3">
      <c r="A230" t="s">
        <v>247</v>
      </c>
      <c r="B230">
        <v>42736</v>
      </c>
      <c r="C230">
        <v>250.81399999999999</v>
      </c>
      <c r="D230">
        <v>0.79002258431319439</v>
      </c>
    </row>
    <row r="231" spans="1:4" x14ac:dyDescent="0.3">
      <c r="A231" t="s">
        <v>248</v>
      </c>
      <c r="B231">
        <v>42767</v>
      </c>
      <c r="C231">
        <v>252.25200000000001</v>
      </c>
      <c r="D231">
        <v>0.79455204628996756</v>
      </c>
    </row>
    <row r="232" spans="1:4" x14ac:dyDescent="0.3">
      <c r="A232" t="s">
        <v>249</v>
      </c>
      <c r="B232">
        <v>42795</v>
      </c>
      <c r="C232">
        <v>252.94900000000001</v>
      </c>
      <c r="D232">
        <v>0.79674748091987779</v>
      </c>
    </row>
    <row r="233" spans="1:4" x14ac:dyDescent="0.3">
      <c r="A233" t="s">
        <v>250</v>
      </c>
      <c r="B233">
        <v>42826</v>
      </c>
      <c r="C233">
        <v>253.80600000000001</v>
      </c>
      <c r="D233">
        <v>0.79944688906597972</v>
      </c>
    </row>
    <row r="234" spans="1:4" x14ac:dyDescent="0.3">
      <c r="A234" t="s">
        <v>251</v>
      </c>
      <c r="B234">
        <v>42856</v>
      </c>
      <c r="C234">
        <v>254.38</v>
      </c>
      <c r="D234">
        <v>0.80125489405531747</v>
      </c>
    </row>
    <row r="235" spans="1:4" x14ac:dyDescent="0.3">
      <c r="A235" t="s">
        <v>252</v>
      </c>
      <c r="B235">
        <v>42887</v>
      </c>
      <c r="C235">
        <v>254.46899999999999</v>
      </c>
      <c r="D235">
        <v>0.80153522932369903</v>
      </c>
    </row>
    <row r="236" spans="1:4" x14ac:dyDescent="0.3">
      <c r="A236" t="s">
        <v>253</v>
      </c>
      <c r="B236">
        <v>42917</v>
      </c>
      <c r="C236">
        <v>254.708</v>
      </c>
      <c r="D236">
        <v>0.80228803976351049</v>
      </c>
    </row>
    <row r="237" spans="1:4" x14ac:dyDescent="0.3">
      <c r="A237" t="s">
        <v>254</v>
      </c>
      <c r="B237">
        <v>42948</v>
      </c>
      <c r="C237">
        <v>255.28200000000001</v>
      </c>
      <c r="D237">
        <v>0.80409604475284835</v>
      </c>
    </row>
    <row r="238" spans="1:4" x14ac:dyDescent="0.3">
      <c r="A238" t="s">
        <v>255</v>
      </c>
      <c r="B238">
        <v>42979</v>
      </c>
      <c r="C238">
        <v>256.50400000000002</v>
      </c>
      <c r="D238">
        <v>0.80794514248276261</v>
      </c>
    </row>
    <row r="239" spans="1:4" x14ac:dyDescent="0.3">
      <c r="A239" t="s">
        <v>256</v>
      </c>
      <c r="B239">
        <v>43009</v>
      </c>
      <c r="C239">
        <v>257.22300000000001</v>
      </c>
      <c r="D239">
        <v>0.81020987347114914</v>
      </c>
    </row>
    <row r="240" spans="1:4" x14ac:dyDescent="0.3">
      <c r="A240" t="s">
        <v>257</v>
      </c>
      <c r="B240">
        <v>43040</v>
      </c>
      <c r="C240">
        <v>257.12599999999998</v>
      </c>
      <c r="D240">
        <v>0.80990433952695784</v>
      </c>
    </row>
    <row r="241" spans="1:4" x14ac:dyDescent="0.3">
      <c r="A241" t="s">
        <v>258</v>
      </c>
      <c r="B241">
        <v>43070</v>
      </c>
      <c r="C241">
        <v>257.34699999999998</v>
      </c>
      <c r="D241">
        <v>0.81060045294619765</v>
      </c>
    </row>
    <row r="242" spans="1:4" x14ac:dyDescent="0.3">
      <c r="A242" t="s">
        <v>259</v>
      </c>
      <c r="B242">
        <v>43101</v>
      </c>
      <c r="C242">
        <v>258.63799999999998</v>
      </c>
      <c r="D242">
        <v>0.81466688925496966</v>
      </c>
    </row>
    <row r="243" spans="1:4" x14ac:dyDescent="0.3">
      <c r="A243" t="s">
        <v>260</v>
      </c>
      <c r="B243">
        <v>43132</v>
      </c>
      <c r="C243">
        <v>259.98599999999999</v>
      </c>
      <c r="D243">
        <v>0.81891286612888492</v>
      </c>
    </row>
    <row r="244" spans="1:4" x14ac:dyDescent="0.3">
      <c r="A244" t="s">
        <v>261</v>
      </c>
      <c r="B244">
        <v>43160</v>
      </c>
      <c r="C244">
        <v>260.99400000000003</v>
      </c>
      <c r="D244">
        <v>0.82208789928089299</v>
      </c>
    </row>
    <row r="245" spans="1:4" x14ac:dyDescent="0.3">
      <c r="A245" t="s">
        <v>262</v>
      </c>
      <c r="B245">
        <v>43191</v>
      </c>
      <c r="C245">
        <v>262.03699999999998</v>
      </c>
      <c r="D245">
        <v>0.82537317663956755</v>
      </c>
    </row>
    <row r="246" spans="1:4" x14ac:dyDescent="0.3">
      <c r="A246" t="s">
        <v>263</v>
      </c>
      <c r="B246">
        <v>43221</v>
      </c>
      <c r="C246">
        <v>263.24</v>
      </c>
      <c r="D246">
        <v>0.82916242751443425</v>
      </c>
    </row>
    <row r="247" spans="1:4" x14ac:dyDescent="0.3">
      <c r="A247" t="s">
        <v>264</v>
      </c>
      <c r="B247">
        <v>43252</v>
      </c>
      <c r="C247">
        <v>263.73200000000003</v>
      </c>
      <c r="D247">
        <v>0.83071214607672383</v>
      </c>
    </row>
    <row r="248" spans="1:4" x14ac:dyDescent="0.3">
      <c r="A248" t="s">
        <v>265</v>
      </c>
      <c r="B248">
        <v>43282</v>
      </c>
      <c r="C248">
        <v>263.971</v>
      </c>
      <c r="D248">
        <v>0.83146495651653518</v>
      </c>
    </row>
    <row r="249" spans="1:4" x14ac:dyDescent="0.3">
      <c r="A249" t="s">
        <v>266</v>
      </c>
      <c r="B249">
        <v>43313</v>
      </c>
      <c r="C249">
        <v>264.39499999999998</v>
      </c>
      <c r="D249">
        <v>0.83280048633444315</v>
      </c>
    </row>
    <row r="250" spans="1:4" x14ac:dyDescent="0.3">
      <c r="A250" t="s">
        <v>267</v>
      </c>
      <c r="B250">
        <v>43344</v>
      </c>
      <c r="C250">
        <v>265.10500000000002</v>
      </c>
      <c r="D250">
        <v>0.83503686881254402</v>
      </c>
    </row>
    <row r="251" spans="1:4" x14ac:dyDescent="0.3">
      <c r="A251" t="s">
        <v>268</v>
      </c>
      <c r="B251">
        <v>43374</v>
      </c>
      <c r="C251">
        <v>266.19499999999999</v>
      </c>
      <c r="D251">
        <v>0.83847018839160004</v>
      </c>
    </row>
    <row r="252" spans="1:4" x14ac:dyDescent="0.3">
      <c r="A252" t="s">
        <v>269</v>
      </c>
      <c r="B252">
        <v>43405</v>
      </c>
      <c r="C252">
        <v>265.65800000000002</v>
      </c>
      <c r="D252">
        <v>0.83677872727788161</v>
      </c>
    </row>
    <row r="253" spans="1:4" x14ac:dyDescent="0.3">
      <c r="A253" t="s">
        <v>270</v>
      </c>
      <c r="B253">
        <v>43435</v>
      </c>
      <c r="C253">
        <v>265.209</v>
      </c>
      <c r="D253">
        <v>0.8353644515980686</v>
      </c>
    </row>
    <row r="254" spans="1:4" x14ac:dyDescent="0.3">
      <c r="A254" t="s">
        <v>271</v>
      </c>
      <c r="B254">
        <v>43466</v>
      </c>
      <c r="C254">
        <v>265.62400000000002</v>
      </c>
      <c r="D254">
        <v>0.83667163290569091</v>
      </c>
    </row>
    <row r="255" spans="1:4" x14ac:dyDescent="0.3">
      <c r="A255" t="s">
        <v>272</v>
      </c>
      <c r="B255">
        <v>43497</v>
      </c>
      <c r="C255">
        <v>266.21499999999997</v>
      </c>
      <c r="D255">
        <v>0.83853318508112396</v>
      </c>
    </row>
    <row r="256" spans="1:4" x14ac:dyDescent="0.3">
      <c r="A256" t="s">
        <v>273</v>
      </c>
      <c r="B256">
        <v>43525</v>
      </c>
      <c r="C256">
        <v>267.37</v>
      </c>
      <c r="D256">
        <v>0.84217124390113307</v>
      </c>
    </row>
    <row r="257" spans="1:4" x14ac:dyDescent="0.3">
      <c r="A257" t="s">
        <v>274</v>
      </c>
      <c r="B257">
        <v>43556</v>
      </c>
      <c r="C257">
        <v>269.52199999999999</v>
      </c>
      <c r="D257">
        <v>0.84894968769391177</v>
      </c>
    </row>
    <row r="258" spans="1:4" x14ac:dyDescent="0.3">
      <c r="A258" t="s">
        <v>275</v>
      </c>
      <c r="B258">
        <v>43586</v>
      </c>
      <c r="C258">
        <v>270.88</v>
      </c>
      <c r="D258">
        <v>0.85322716291258904</v>
      </c>
    </row>
    <row r="259" spans="1:4" x14ac:dyDescent="0.3">
      <c r="A259" t="s">
        <v>276</v>
      </c>
      <c r="B259">
        <v>43617</v>
      </c>
      <c r="C259">
        <v>270.95699999999999</v>
      </c>
      <c r="D259">
        <v>0.85346970016725621</v>
      </c>
    </row>
    <row r="260" spans="1:4" x14ac:dyDescent="0.3">
      <c r="A260" t="s">
        <v>277</v>
      </c>
      <c r="B260">
        <v>43647</v>
      </c>
      <c r="C260">
        <v>271.029</v>
      </c>
      <c r="D260">
        <v>0.85369648824954258</v>
      </c>
    </row>
    <row r="261" spans="1:4" x14ac:dyDescent="0.3">
      <c r="A261" t="s">
        <v>278</v>
      </c>
      <c r="B261">
        <v>43678</v>
      </c>
      <c r="C261">
        <v>271.26400000000001</v>
      </c>
      <c r="D261">
        <v>0.85443669935144917</v>
      </c>
    </row>
    <row r="262" spans="1:4" x14ac:dyDescent="0.3">
      <c r="A262" t="s">
        <v>279</v>
      </c>
      <c r="B262">
        <v>43709</v>
      </c>
      <c r="C262">
        <v>272.10199999999998</v>
      </c>
      <c r="D262">
        <v>0.8570762606425032</v>
      </c>
    </row>
    <row r="263" spans="1:4" x14ac:dyDescent="0.3">
      <c r="A263" t="s">
        <v>280</v>
      </c>
      <c r="B263">
        <v>43739</v>
      </c>
      <c r="C263">
        <v>273.524</v>
      </c>
      <c r="D263">
        <v>0.86155532526765721</v>
      </c>
    </row>
    <row r="264" spans="1:4" x14ac:dyDescent="0.3">
      <c r="A264" t="s">
        <v>281</v>
      </c>
      <c r="B264">
        <v>43770</v>
      </c>
      <c r="C264">
        <v>273.12799999999999</v>
      </c>
      <c r="D264">
        <v>0.86030799081508269</v>
      </c>
    </row>
    <row r="265" spans="1:4" x14ac:dyDescent="0.3">
      <c r="A265" t="s">
        <v>282</v>
      </c>
      <c r="B265">
        <v>43800</v>
      </c>
      <c r="C265">
        <v>272.584</v>
      </c>
      <c r="D265">
        <v>0.85859448086003087</v>
      </c>
    </row>
    <row r="266" spans="1:4" x14ac:dyDescent="0.3">
      <c r="A266" t="s">
        <v>283</v>
      </c>
      <c r="B266">
        <v>43831</v>
      </c>
      <c r="C266">
        <v>273.33999999999997</v>
      </c>
      <c r="D266">
        <v>0.86097575572403673</v>
      </c>
    </row>
    <row r="267" spans="1:4" x14ac:dyDescent="0.3">
      <c r="A267" t="s">
        <v>284</v>
      </c>
      <c r="B267">
        <v>43862</v>
      </c>
      <c r="C267">
        <v>274.41199999999998</v>
      </c>
      <c r="D267">
        <v>0.86435237828252121</v>
      </c>
    </row>
    <row r="268" spans="1:4" x14ac:dyDescent="0.3">
      <c r="A268" t="s">
        <v>285</v>
      </c>
      <c r="B268">
        <v>43891</v>
      </c>
      <c r="C268">
        <v>273.995</v>
      </c>
      <c r="D268">
        <v>0.86303889730594663</v>
      </c>
    </row>
    <row r="269" spans="1:4" x14ac:dyDescent="0.3">
      <c r="A269" t="s">
        <v>286</v>
      </c>
      <c r="B269">
        <v>43922</v>
      </c>
      <c r="C269">
        <v>272.91300000000001</v>
      </c>
      <c r="D269">
        <v>0.85963077640270014</v>
      </c>
    </row>
    <row r="270" spans="1:4" x14ac:dyDescent="0.3">
      <c r="A270" t="s">
        <v>287</v>
      </c>
      <c r="B270">
        <v>43952</v>
      </c>
      <c r="C270">
        <v>273.06200000000001</v>
      </c>
      <c r="D270">
        <v>0.86010010173965368</v>
      </c>
    </row>
    <row r="271" spans="1:4" x14ac:dyDescent="0.3">
      <c r="A271" t="s">
        <v>288</v>
      </c>
      <c r="B271">
        <v>43983</v>
      </c>
      <c r="C271">
        <v>274.15499999999997</v>
      </c>
      <c r="D271">
        <v>0.86354287082213832</v>
      </c>
    </row>
    <row r="272" spans="1:4" x14ac:dyDescent="0.3">
      <c r="A272" t="s">
        <v>289</v>
      </c>
      <c r="B272">
        <v>44013</v>
      </c>
      <c r="C272">
        <v>275.59699999999998</v>
      </c>
      <c r="D272">
        <v>0.86808493213681626</v>
      </c>
    </row>
    <row r="273" spans="1:4" x14ac:dyDescent="0.3">
      <c r="A273" t="s">
        <v>290</v>
      </c>
      <c r="B273">
        <v>44044</v>
      </c>
      <c r="C273">
        <v>276.44299999999998</v>
      </c>
      <c r="D273">
        <v>0.87074969210367992</v>
      </c>
    </row>
    <row r="274" spans="1:4" x14ac:dyDescent="0.3">
      <c r="A274" t="s">
        <v>291</v>
      </c>
      <c r="B274">
        <v>44075</v>
      </c>
      <c r="C274">
        <v>276.42200000000003</v>
      </c>
      <c r="D274">
        <v>0.87068354557967997</v>
      </c>
    </row>
    <row r="275" spans="1:4" x14ac:dyDescent="0.3">
      <c r="A275" t="s">
        <v>292</v>
      </c>
      <c r="B275">
        <v>44105</v>
      </c>
      <c r="C275">
        <v>276.87599999999998</v>
      </c>
      <c r="D275">
        <v>0.87211357043187376</v>
      </c>
    </row>
    <row r="276" spans="1:4" x14ac:dyDescent="0.3">
      <c r="A276" t="s">
        <v>293</v>
      </c>
      <c r="B276">
        <v>44136</v>
      </c>
      <c r="C276">
        <v>276.875</v>
      </c>
      <c r="D276">
        <v>0.87211042059739763</v>
      </c>
    </row>
    <row r="277" spans="1:4" x14ac:dyDescent="0.3">
      <c r="A277" t="s">
        <v>294</v>
      </c>
      <c r="B277">
        <v>44166</v>
      </c>
      <c r="C277">
        <v>276.59300000000002</v>
      </c>
      <c r="D277">
        <v>0.87122216727510982</v>
      </c>
    </row>
    <row r="278" spans="1:4" x14ac:dyDescent="0.3">
      <c r="A278" t="s">
        <v>295</v>
      </c>
      <c r="B278">
        <v>44197</v>
      </c>
      <c r="C278">
        <v>277.238</v>
      </c>
      <c r="D278">
        <v>0.8732538105122577</v>
      </c>
    </row>
    <row r="279" spans="1:4" x14ac:dyDescent="0.3">
      <c r="A279" t="s">
        <v>296</v>
      </c>
      <c r="B279">
        <v>44228</v>
      </c>
      <c r="C279">
        <v>278.702</v>
      </c>
      <c r="D279">
        <v>0.87786516818541194</v>
      </c>
    </row>
    <row r="280" spans="1:4" x14ac:dyDescent="0.3">
      <c r="A280" t="s">
        <v>297</v>
      </c>
      <c r="B280">
        <v>44256</v>
      </c>
      <c r="C280">
        <v>280.625</v>
      </c>
      <c r="D280">
        <v>0.88392229988314119</v>
      </c>
    </row>
    <row r="281" spans="1:4" x14ac:dyDescent="0.3">
      <c r="A281" t="s">
        <v>298</v>
      </c>
      <c r="B281">
        <v>44287</v>
      </c>
      <c r="C281">
        <v>283.50700000000001</v>
      </c>
      <c r="D281">
        <v>0.89300012284354469</v>
      </c>
    </row>
    <row r="282" spans="1:4" x14ac:dyDescent="0.3">
      <c r="A282" t="s">
        <v>299</v>
      </c>
      <c r="B282">
        <v>44317</v>
      </c>
      <c r="C282">
        <v>285.79300000000001</v>
      </c>
      <c r="D282">
        <v>0.9002006444561339</v>
      </c>
    </row>
    <row r="283" spans="1:4" x14ac:dyDescent="0.3">
      <c r="A283" t="s">
        <v>300</v>
      </c>
      <c r="B283">
        <v>44348</v>
      </c>
      <c r="C283">
        <v>288.26299999999998</v>
      </c>
      <c r="D283">
        <v>0.9079807356123436</v>
      </c>
    </row>
    <row r="284" spans="1:4" x14ac:dyDescent="0.3">
      <c r="A284" t="s">
        <v>301</v>
      </c>
      <c r="B284">
        <v>44378</v>
      </c>
      <c r="C284">
        <v>289.863</v>
      </c>
      <c r="D284">
        <v>0.91302047077426085</v>
      </c>
    </row>
    <row r="285" spans="1:4" x14ac:dyDescent="0.3">
      <c r="A285" t="s">
        <v>302</v>
      </c>
      <c r="B285">
        <v>44409</v>
      </c>
      <c r="C285">
        <v>290.39299999999997</v>
      </c>
      <c r="D285">
        <v>0.91468988304664589</v>
      </c>
    </row>
    <row r="286" spans="1:4" x14ac:dyDescent="0.3">
      <c r="A286" t="s">
        <v>303</v>
      </c>
      <c r="B286">
        <v>44440</v>
      </c>
      <c r="C286">
        <v>291.053</v>
      </c>
      <c r="D286">
        <v>0.9167687738009368</v>
      </c>
    </row>
    <row r="287" spans="1:4" x14ac:dyDescent="0.3">
      <c r="A287" t="s">
        <v>304</v>
      </c>
      <c r="B287">
        <v>44470</v>
      </c>
      <c r="C287">
        <v>293.39699999999999</v>
      </c>
      <c r="D287">
        <v>0.92415198581314562</v>
      </c>
    </row>
    <row r="288" spans="1:4" x14ac:dyDescent="0.3">
      <c r="A288" t="s">
        <v>305</v>
      </c>
      <c r="B288">
        <v>44501</v>
      </c>
      <c r="C288">
        <v>294.98599999999999</v>
      </c>
      <c r="D288">
        <v>0.9291570727958246</v>
      </c>
    </row>
    <row r="289" spans="1:4" x14ac:dyDescent="0.3">
      <c r="A289" t="s">
        <v>306</v>
      </c>
      <c r="B289">
        <v>44531</v>
      </c>
      <c r="C289">
        <v>296.10199999999998</v>
      </c>
      <c r="D289">
        <v>0.9326722880712619</v>
      </c>
    </row>
    <row r="290" spans="1:4" x14ac:dyDescent="0.3">
      <c r="A290" t="s">
        <v>307</v>
      </c>
      <c r="B290">
        <v>44562</v>
      </c>
      <c r="C290">
        <v>298.70499999999998</v>
      </c>
      <c r="D290">
        <v>0.94087130721280599</v>
      </c>
    </row>
    <row r="291" spans="1:4" x14ac:dyDescent="0.3">
      <c r="A291" t="s">
        <v>308</v>
      </c>
      <c r="B291">
        <v>44593</v>
      </c>
      <c r="C291">
        <v>301.15800000000002</v>
      </c>
      <c r="D291">
        <v>0.9485978511829205</v>
      </c>
    </row>
    <row r="292" spans="1:4" x14ac:dyDescent="0.3">
      <c r="A292" t="s">
        <v>309</v>
      </c>
      <c r="B292">
        <v>44621</v>
      </c>
      <c r="C292">
        <v>305.08199999999999</v>
      </c>
      <c r="D292">
        <v>0.96095780166752243</v>
      </c>
    </row>
    <row r="293" spans="1:4" x14ac:dyDescent="0.3">
      <c r="A293" t="s">
        <v>310</v>
      </c>
      <c r="B293">
        <v>44652</v>
      </c>
      <c r="C293">
        <v>307.14499999999998</v>
      </c>
      <c r="D293">
        <v>0.96745591019191945</v>
      </c>
    </row>
    <row r="294" spans="1:4" x14ac:dyDescent="0.3">
      <c r="A294" t="s">
        <v>311</v>
      </c>
      <c r="B294">
        <v>44682</v>
      </c>
      <c r="C294">
        <v>309.64499999999998</v>
      </c>
      <c r="D294">
        <v>0.97533049638241509</v>
      </c>
    </row>
    <row r="295" spans="1:4" x14ac:dyDescent="0.3">
      <c r="A295" t="s">
        <v>312</v>
      </c>
      <c r="B295">
        <v>44713</v>
      </c>
      <c r="C295">
        <v>313.49599999999998</v>
      </c>
      <c r="D295">
        <v>0.98746050895025472</v>
      </c>
    </row>
    <row r="296" spans="1:4" x14ac:dyDescent="0.3">
      <c r="A296" t="s">
        <v>313</v>
      </c>
      <c r="B296">
        <v>44743</v>
      </c>
      <c r="C296">
        <v>313.95100000000002</v>
      </c>
      <c r="D296">
        <v>0.98889368363692498</v>
      </c>
    </row>
    <row r="297" spans="1:4" x14ac:dyDescent="0.3">
      <c r="A297" t="s">
        <v>314</v>
      </c>
      <c r="B297">
        <v>44774</v>
      </c>
      <c r="C297">
        <v>314.01299999999998</v>
      </c>
      <c r="D297">
        <v>0.98908897337444912</v>
      </c>
    </row>
    <row r="298" spans="1:4" x14ac:dyDescent="0.3">
      <c r="A298" t="s">
        <v>315</v>
      </c>
      <c r="B298">
        <v>44805</v>
      </c>
      <c r="C298">
        <v>315.09399999999999</v>
      </c>
      <c r="D298">
        <v>0.99249394444321959</v>
      </c>
    </row>
    <row r="299" spans="1:4" x14ac:dyDescent="0.3">
      <c r="A299" t="s">
        <v>316</v>
      </c>
      <c r="B299">
        <v>44835</v>
      </c>
      <c r="C299">
        <v>317.29899999999998</v>
      </c>
      <c r="D299">
        <v>0.99943932946323677</v>
      </c>
    </row>
    <row r="300" spans="1:4" x14ac:dyDescent="0.3">
      <c r="A300" t="s">
        <v>317</v>
      </c>
      <c r="B300">
        <v>44866</v>
      </c>
      <c r="C300">
        <v>315.91899999999998</v>
      </c>
      <c r="D300">
        <v>0.99509255788608308</v>
      </c>
    </row>
    <row r="301" spans="1:4" x14ac:dyDescent="0.3">
      <c r="A301" t="s">
        <v>318</v>
      </c>
      <c r="B301">
        <v>44896</v>
      </c>
      <c r="C301">
        <v>314.59899999999999</v>
      </c>
      <c r="D301">
        <v>0.99093477637750138</v>
      </c>
    </row>
    <row r="302" spans="1:4" x14ac:dyDescent="0.3">
      <c r="A302" t="s">
        <v>319</v>
      </c>
      <c r="B302">
        <v>44927</v>
      </c>
      <c r="C302">
        <v>317.47699999999998</v>
      </c>
      <c r="D3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Sources</vt:lpstr>
      <vt:lpstr>CA</vt:lpstr>
      <vt:lpstr>BLS_National</vt:lpstr>
      <vt:lpstr>BLS_West</vt:lpstr>
      <vt:lpstr>BLS_West monthly</vt:lpstr>
    </vt:vector>
  </TitlesOfParts>
  <Company>DIR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Entire California Consumer Price Index</dc:title>
  <dc:creator>Office of the Director - Research Unit</dc:creator>
  <cp:lastModifiedBy>Joshua Fontes</cp:lastModifiedBy>
  <dcterms:created xsi:type="dcterms:W3CDTF">2024-06-04T23:42:28Z</dcterms:created>
  <dcterms:modified xsi:type="dcterms:W3CDTF">2024-12-23T21:41:50Z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0x01010052C741545122D349973C8B6453BA440D</vt:lpwstr>
  </property>
  <property fmtid="{D5CDD505-2E9C-101B-9397-08002B2CF9AE}" pid="3" name="Created">
    <vt:filetime>2024-04-11T00:00:00Z</vt:filetime>
  </property>
  <property fmtid="{D5CDD505-2E9C-101B-9397-08002B2CF9AE}" pid="4" name="Creator">
    <vt:lpwstr>Acrobat PDFMaker 22 for Word</vt:lpwstr>
  </property>
  <property fmtid="{D5CDD505-2E9C-101B-9397-08002B2CF9AE}" pid="5" name="LastSaved">
    <vt:filetime>2024-06-04T00:00:00Z</vt:filetime>
  </property>
  <property fmtid="{D5CDD505-2E9C-101B-9397-08002B2CF9AE}" pid="6" name="Producer">
    <vt:lpwstr>Adobe PDF Library 22.1.149</vt:lpwstr>
  </property>
  <property fmtid="{D5CDD505-2E9C-101B-9397-08002B2CF9AE}" pid="7" name="SourceModified">
    <vt:lpwstr>D:20240411204158</vt:lpwstr>
  </property>
</Properties>
</file>