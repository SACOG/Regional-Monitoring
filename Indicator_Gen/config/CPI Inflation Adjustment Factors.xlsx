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4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fontes\Documents\Projects\Regional-Monitoring\Indicator_Gen\config\"/>
    </mc:Choice>
  </mc:AlternateContent>
  <xr:revisionPtr revIDLastSave="0" documentId="13_ncr:1_{9F2BDD74-D3EB-4C2F-8515-813FEFE541F7}" xr6:coauthVersionLast="47" xr6:coauthVersionMax="47" xr10:uidLastSave="{00000000-0000-0000-0000-000000000000}"/>
  <bookViews>
    <workbookView xWindow="-110" yWindow="-110" windowWidth="19420" windowHeight="11500" activeTab="3" xr2:uid="{00000000-000D-0000-FFFF-FFFF00000000}"/>
  </bookViews>
  <sheets>
    <sheet name="Sources" sheetId="7" r:id="rId1"/>
    <sheet name="CA" sheetId="4" r:id="rId2"/>
    <sheet name="BLS_National" sheetId="5" r:id="rId3"/>
    <sheet name="BLS_West" sheetId="6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5" l="1"/>
  <c r="F3" i="5"/>
  <c r="F4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5" i="5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" i="6"/>
  <c r="F3" i="6"/>
  <c r="F4" i="6"/>
  <c r="F5" i="6"/>
  <c r="B3" i="6" a="1"/>
  <c r="B3" i="6" s="1"/>
  <c r="B4" i="6" a="1"/>
  <c r="B4" i="6" s="1"/>
  <c r="B5" i="6" a="1"/>
  <c r="B5" i="6" s="1"/>
  <c r="B6" i="6" a="1"/>
  <c r="B6" i="6" s="1"/>
  <c r="B7" i="6" a="1"/>
  <c r="B7" i="6" s="1"/>
  <c r="B8" i="6" a="1"/>
  <c r="B8" i="6"/>
  <c r="B9" i="6" a="1"/>
  <c r="B9" i="6" s="1"/>
  <c r="E9" i="6" s="1"/>
  <c r="B10" i="6" a="1"/>
  <c r="B10" i="6"/>
  <c r="B11" i="6" a="1"/>
  <c r="B11" i="6" s="1"/>
  <c r="B12" i="6" a="1"/>
  <c r="B12" i="6" s="1"/>
  <c r="B13" i="6" a="1"/>
  <c r="B13" i="6" s="1"/>
  <c r="B14" i="6" a="1"/>
  <c r="B14" i="6" s="1"/>
  <c r="B15" i="6" a="1"/>
  <c r="B15" i="6" s="1"/>
  <c r="B16" i="6" a="1"/>
  <c r="B16" i="6" s="1"/>
  <c r="B17" i="6" a="1"/>
  <c r="B17" i="6"/>
  <c r="B18" i="6" a="1"/>
  <c r="B18" i="6"/>
  <c r="B19" i="6" a="1"/>
  <c r="B19" i="6" s="1"/>
  <c r="B20" i="6" a="1"/>
  <c r="B20" i="6"/>
  <c r="B21" i="6" a="1"/>
  <c r="B21" i="6" s="1"/>
  <c r="B22" i="6" a="1"/>
  <c r="B22" i="6" s="1"/>
  <c r="B23" i="6" a="1"/>
  <c r="B23" i="6" s="1"/>
  <c r="B24" i="6" a="1"/>
  <c r="B24" i="6" s="1"/>
  <c r="B25" i="6" a="1"/>
  <c r="B25" i="6" s="1"/>
  <c r="E25" i="6" s="1"/>
  <c r="B26" i="6" a="1"/>
  <c r="B26" i="6" s="1"/>
  <c r="B27" i="6" a="1"/>
  <c r="B27" i="6" s="1"/>
  <c r="B2" i="6" a="1"/>
  <c r="B2" i="6" s="1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2" i="5"/>
  <c r="E3" i="5"/>
  <c r="E4" i="5"/>
  <c r="D2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3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2" i="5"/>
  <c r="E20" i="6" l="1"/>
  <c r="E6" i="6"/>
  <c r="E4" i="6"/>
  <c r="E14" i="6"/>
  <c r="E22" i="6"/>
  <c r="E18" i="6"/>
  <c r="E19" i="6"/>
  <c r="E15" i="6"/>
  <c r="D14" i="6"/>
  <c r="E3" i="6"/>
  <c r="D19" i="6"/>
  <c r="D3" i="6"/>
  <c r="D10" i="6"/>
  <c r="D24" i="6"/>
  <c r="D8" i="6"/>
  <c r="D13" i="6"/>
  <c r="D18" i="6"/>
  <c r="D17" i="6"/>
  <c r="D26" i="6"/>
  <c r="D23" i="6"/>
  <c r="D7" i="6"/>
  <c r="D12" i="6"/>
  <c r="D22" i="6"/>
  <c r="D6" i="6"/>
  <c r="D27" i="6"/>
  <c r="D11" i="6"/>
  <c r="D15" i="6"/>
  <c r="D9" i="6"/>
  <c r="D16" i="6"/>
  <c r="D21" i="6"/>
  <c r="D5" i="6"/>
  <c r="D20" i="6"/>
  <c r="D4" i="6"/>
  <c r="D25" i="6"/>
  <c r="E10" i="6"/>
  <c r="E26" i="6"/>
  <c r="E5" i="6"/>
  <c r="E21" i="6"/>
  <c r="E16" i="6"/>
  <c r="E11" i="6"/>
  <c r="E27" i="6"/>
  <c r="E17" i="6"/>
  <c r="E12" i="6"/>
  <c r="E7" i="6"/>
  <c r="E23" i="6"/>
  <c r="E13" i="6"/>
  <c r="E8" i="6"/>
  <c r="E24" i="6"/>
  <c r="C24" i="6"/>
  <c r="C20" i="6"/>
  <c r="C16" i="6"/>
  <c r="C12" i="6"/>
  <c r="C8" i="6"/>
  <c r="C4" i="6"/>
  <c r="C27" i="6"/>
  <c r="C23" i="6"/>
  <c r="C19" i="6"/>
  <c r="C15" i="6"/>
  <c r="C11" i="6"/>
  <c r="C7" i="6"/>
  <c r="C3" i="6"/>
  <c r="C21" i="6"/>
  <c r="E2" i="6"/>
  <c r="C25" i="6"/>
  <c r="C9" i="6"/>
  <c r="D2" i="6"/>
  <c r="C13" i="6"/>
  <c r="C26" i="6"/>
  <c r="C22" i="6"/>
  <c r="C18" i="6"/>
  <c r="C14" i="6"/>
  <c r="C10" i="6"/>
  <c r="C6" i="6"/>
  <c r="C2" i="6"/>
  <c r="C17" i="6"/>
  <c r="C5" i="6"/>
  <c r="F3" i="4" l="1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2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2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<sst xmlns="http://schemas.openxmlformats.org/spreadsheetml/2006/main" count="26" uniqueCount="15">
  <si>
    <t>Year</t>
  </si>
  <si>
    <t>All Urban Consumers</t>
  </si>
  <si>
    <t>IAF_2023</t>
  </si>
  <si>
    <t>IAF_2022</t>
  </si>
  <si>
    <t>IAF_2021</t>
  </si>
  <si>
    <t>IAF_2020</t>
  </si>
  <si>
    <t>All Items</t>
  </si>
  <si>
    <t>BLS_West</t>
  </si>
  <si>
    <t>Consumer Price Index, West Region — April 2024 : Western Information Office : U.S. Bureau of Labor Statistics (bls.gov)</t>
  </si>
  <si>
    <t>Tab</t>
  </si>
  <si>
    <t>Link</t>
  </si>
  <si>
    <t>BLS_National</t>
  </si>
  <si>
    <t>R-CPI-U-RS Homepage : U.S. Bureau of Labor Statistics (bls.gov)</t>
  </si>
  <si>
    <t>Entire California Consumer Price Index</t>
  </si>
  <si>
    <t>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</si>
</sst>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Times New Roman"/>
      <charset val="204"/>
    </font>
    <font>
      <b/>
      <sz val="10"/>
      <color rgb="FF000000"/>
      <name val="Times New Roman"/>
      <family val="1"/>
    </font>
    <font>
      <u/>
      <sz val="10"/>
      <color theme="10"/>
      <name val="Times New Roman"/>
      <charset val="204"/>
    </font>
    <font>
      <sz val="10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">
    <xf numFmtId="0" fontId="0" fillId="0" borderId="0" xfId="0" applyAlignment="1">
      <alignment horizontal="left" vertical="top"/>
    </xf>
    <xf numFmtId="0" fontId="1" fillId="0" borderId="0" xfId="0" applyFont="1" applyAlignment="1">
      <alignment horizontal="left" vertical="top"/>
    </xf>
    <xf numFmtId="0" fontId="0" fillId="0" borderId="0" xfId="0" applyFill="1" applyAlignment="1">
      <alignment horizontal="left" vertical="top"/>
    </xf>
    <xf numFmtId="0" fontId="2" fillId="0" borderId="0" xfId="1" applyAlignment="1">
      <alignment horizontal="left" vertical="top"/>
    </xf>
    <xf numFmtId="0" fontId="3" fillId="0" borderId="0" xfId="0" applyFont="1" applyAlignment="1">
      <alignment horizontal="left" vertical="top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sacog.sharepoint.com/sites/DataDevelopmentMonitoringandSupport/Shared%20Documents/Data%20Developement,%20Monitoring%20and%20Support/RegionalProgressReport/2021%20report/2020Data/ConnectComms/Costs/gas%20cpi_bag_2016_updated%20transit%20fares%20groups.xlsx" TargetMode="External"/><Relationship Id="rId2" Type="http://schemas.microsoft.com/office/2019/04/relationships/externalLinkLongPath" Target="https://sacog.sharepoint.com/sites/DataDevelopmentMonitoringandSupport/Shared%20Documents/Data%20Developement,%20Monitoring%20and%20Support/RegionalProgressReport/2021%20report/2020Data/ConnectComms/Costs/gas%20cpi_bag_2016_updated%20transit%20fares%20groups.xlsx?7D1FBD5F" TargetMode="External"/><Relationship Id="rId1" Type="http://schemas.openxmlformats.org/officeDocument/2006/relationships/externalLinkPath" Target="file:///\\7D1FBD5F\gas%20cpi_bag_2016_updated%20transit%20fares%20grou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onthly cpi west"/>
      <sheetName val="gasoline_CA"/>
      <sheetName val="gasoline"/>
      <sheetName val="transit fares"/>
      <sheetName val="transit fare groups"/>
      <sheetName val="pivots"/>
      <sheetName val="vmt_fhwa"/>
      <sheetName val="Sheet2"/>
      <sheetName val="names"/>
      <sheetName val="vehicle fleet mpg"/>
    </sheetNames>
    <sheetDataSet>
      <sheetData sheetId="0">
        <row r="12">
          <cell r="E12">
            <v>1998</v>
          </cell>
          <cell r="R12">
            <v>164.4</v>
          </cell>
        </row>
        <row r="13">
          <cell r="E13">
            <v>1999</v>
          </cell>
          <cell r="R13">
            <v>168.9</v>
          </cell>
        </row>
        <row r="14">
          <cell r="E14">
            <v>2000</v>
          </cell>
          <cell r="R14">
            <v>174.8</v>
          </cell>
        </row>
        <row r="15">
          <cell r="E15">
            <v>2001</v>
          </cell>
          <cell r="R15">
            <v>181.2</v>
          </cell>
        </row>
        <row r="16">
          <cell r="E16">
            <v>2002</v>
          </cell>
          <cell r="R16">
            <v>184.7</v>
          </cell>
        </row>
        <row r="17">
          <cell r="E17">
            <v>2003</v>
          </cell>
          <cell r="R17">
            <v>188.6</v>
          </cell>
        </row>
        <row r="18">
          <cell r="E18">
            <v>2004</v>
          </cell>
          <cell r="R18">
            <v>193</v>
          </cell>
        </row>
        <row r="19">
          <cell r="E19">
            <v>2005</v>
          </cell>
          <cell r="R19">
            <v>198.9</v>
          </cell>
        </row>
        <row r="20">
          <cell r="E20">
            <v>2006</v>
          </cell>
          <cell r="R20">
            <v>205.7</v>
          </cell>
        </row>
        <row r="21">
          <cell r="E21">
            <v>2007</v>
          </cell>
          <cell r="R21">
            <v>212.23</v>
          </cell>
        </row>
        <row r="22">
          <cell r="E22">
            <v>2008</v>
          </cell>
          <cell r="R22">
            <v>219.64599999999999</v>
          </cell>
        </row>
        <row r="23">
          <cell r="E23">
            <v>2009</v>
          </cell>
          <cell r="R23">
            <v>218.822</v>
          </cell>
        </row>
        <row r="24">
          <cell r="E24">
            <v>2010</v>
          </cell>
          <cell r="R24">
            <v>221.203</v>
          </cell>
        </row>
        <row r="25">
          <cell r="E25">
            <v>2011</v>
          </cell>
          <cell r="R25">
            <v>227.48500000000001</v>
          </cell>
        </row>
        <row r="26">
          <cell r="E26">
            <v>2012</v>
          </cell>
          <cell r="R26">
            <v>232.376</v>
          </cell>
        </row>
        <row r="27">
          <cell r="E27">
            <v>2013</v>
          </cell>
          <cell r="R27">
            <v>235.82400000000001</v>
          </cell>
        </row>
        <row r="28">
          <cell r="E28">
            <v>2014</v>
          </cell>
          <cell r="R28">
            <v>240.215</v>
          </cell>
        </row>
        <row r="29">
          <cell r="E29">
            <v>2015</v>
          </cell>
          <cell r="R29">
            <v>243.01499999999999</v>
          </cell>
        </row>
        <row r="30">
          <cell r="E30">
            <v>2016</v>
          </cell>
          <cell r="R30">
            <v>247.70500000000001</v>
          </cell>
        </row>
        <row r="31">
          <cell r="E31">
            <v>2017</v>
          </cell>
          <cell r="R31">
            <v>254.738</v>
          </cell>
        </row>
        <row r="32">
          <cell r="E32">
            <v>2018</v>
          </cell>
          <cell r="R32">
            <v>263.26333333333332</v>
          </cell>
        </row>
        <row r="33">
          <cell r="E33">
            <v>2019</v>
          </cell>
          <cell r="R33">
            <v>270.34991666666662</v>
          </cell>
        </row>
        <row r="34">
          <cell r="E34">
            <v>2020</v>
          </cell>
          <cell r="R34">
            <v>275.05700000000002</v>
          </cell>
        </row>
        <row r="35">
          <cell r="E35">
            <v>2021</v>
          </cell>
          <cell r="R35">
            <v>287.49400000000003</v>
          </cell>
        </row>
        <row r="36">
          <cell r="E36">
            <v>2022</v>
          </cell>
          <cell r="R36">
            <v>310.50900000000001</v>
          </cell>
        </row>
        <row r="37">
          <cell r="E37">
            <v>2023</v>
          </cell>
          <cell r="R37">
            <v>323.834</v>
          </cell>
        </row>
        <row r="38">
          <cell r="E38">
            <v>2024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ir.ca.gov/oprl/cpi/entireccpi.pdf" TargetMode="External"/><Relationship Id="rId2" Type="http://schemas.openxmlformats.org/officeDocument/2006/relationships/hyperlink" Target="https://www.bls.gov/cpi/research-series/r-cpi-u-rs-home.htm" TargetMode="External"/><Relationship Id="rId1" Type="http://schemas.openxmlformats.org/officeDocument/2006/relationships/hyperlink" Target="https://www.bls.gov/regions/west/news-release/consumerpriceindex_west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D831A-DDC6-4E81-BE18-73D43D199F08}">
  <dimension ref="A1:B4"/>
  <sheetViews>
    <sheetView workbookViewId="0">
      <selection activeCell="B10" sqref="B10"/>
    </sheetView>
  </sheetViews>
  <sheetFormatPr defaultRowHeight="13" x14ac:dyDescent="0.3"/>
  <cols>
    <col min="1" max="1" width="12.19921875" bestFit="1" customWidth="1"/>
    <col min="2" max="2" width="100.3984375" bestFit="1" customWidth="1"/>
  </cols>
  <sheetData>
    <row r="1" spans="1:2" x14ac:dyDescent="0.3">
      <c r="A1" s="1" t="s">
        <v>9</v>
      </c>
      <c r="B1" s="1" t="s">
        <v>10</v>
      </c>
    </row>
    <row r="2" spans="1:2" x14ac:dyDescent="0.3">
      <c r="A2" s="4" t="s">
        <v>14</v>
      </c>
      <c r="B2" s="3" t="s">
        <v>13</v>
      </c>
    </row>
    <row r="3" spans="1:2" x14ac:dyDescent="0.3">
      <c r="A3" s="4" t="s">
        <v>11</v>
      </c>
      <c r="B3" s="3" t="s">
        <v>12</v>
      </c>
    </row>
    <row r="4" spans="1:2" x14ac:dyDescent="0.3">
      <c r="A4" t="s">
        <v>7</v>
      </c>
      <c r="B4" s="3" t="s">
        <v>8</v>
      </c>
    </row>
  </sheetData>
  <hyperlinks>
    <hyperlink ref="B4" r:id="rId1" display="https://www.bls.gov/regions/west/news-release/consumerpriceindex_west.htm" xr:uid="{D8F667EB-810B-4E4D-B18A-262BD6ADC76E}"/>
    <hyperlink ref="B3" r:id="rId2" display="https://www.bls.gov/cpi/research-series/r-cpi-u-rs-home.htm" xr:uid="{1B0A9FF6-7496-4497-B280-EF2A1867E315}"/>
    <hyperlink ref="B2" r:id="rId3" display="https://www.dir.ca.gov/oprl/cpi/entireccpi.pdf" xr:uid="{A9554C48-63E6-462A-B759-36E937456BE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D1C33-6ADD-4F8E-BC64-E68634ED55EB}">
  <dimension ref="A1:N70"/>
  <sheetViews>
    <sheetView workbookViewId="0">
      <selection activeCell="F22" sqref="F22"/>
    </sheetView>
  </sheetViews>
  <sheetFormatPr defaultRowHeight="13" x14ac:dyDescent="0.3"/>
  <cols>
    <col min="2" max="2" width="18.59765625" bestFit="1" customWidth="1"/>
    <col min="3" max="14" width="11.8984375" bestFit="1" customWidth="1"/>
  </cols>
  <sheetData>
    <row r="1" spans="1:1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/>
      <c r="H1" s="1"/>
      <c r="I1" s="1"/>
      <c r="J1" s="1"/>
      <c r="K1" s="1"/>
      <c r="L1" s="1"/>
      <c r="M1" s="1"/>
      <c r="N1" s="1"/>
    </row>
    <row r="2" spans="1:14" x14ac:dyDescent="0.3">
      <c r="A2">
        <v>2023</v>
      </c>
      <c r="B2">
        <v>331.80399999999997</v>
      </c>
      <c r="C2">
        <f>$B$2/B2</f>
        <v>1</v>
      </c>
      <c r="D2">
        <f>$B$3/B2</f>
        <v>0.96208605080107534</v>
      </c>
      <c r="E2">
        <f>$B$4/B2</f>
        <v>0.89622487974828513</v>
      </c>
      <c r="F2">
        <f>$B$5/B2</f>
        <v>0.85989017612807572</v>
      </c>
    </row>
    <row r="3" spans="1:14" x14ac:dyDescent="0.3">
      <c r="A3">
        <v>2022</v>
      </c>
      <c r="B3">
        <v>319.22399999999999</v>
      </c>
      <c r="C3">
        <f t="shared" ref="C3:C66" si="0">$B$2/B3</f>
        <v>1.0394080645565495</v>
      </c>
      <c r="D3">
        <f t="shared" ref="D3:D66" si="1">$B$3/B3</f>
        <v>1</v>
      </c>
      <c r="E3">
        <f t="shared" ref="E3:E66" si="2">$B$4/B3</f>
        <v>0.9315433676665914</v>
      </c>
      <c r="F3">
        <f t="shared" ref="F3:F66" si="3">$B$5/B3</f>
        <v>0.89377678370047364</v>
      </c>
    </row>
    <row r="4" spans="1:14" x14ac:dyDescent="0.3">
      <c r="A4">
        <v>2021</v>
      </c>
      <c r="B4">
        <v>297.37099999999998</v>
      </c>
      <c r="C4">
        <f t="shared" si="0"/>
        <v>1.1157913851720578</v>
      </c>
      <c r="D4">
        <f t="shared" si="1"/>
        <v>1.0734873272780467</v>
      </c>
      <c r="E4">
        <f t="shared" si="2"/>
        <v>1</v>
      </c>
      <c r="F4">
        <f t="shared" si="3"/>
        <v>0.95945805071779033</v>
      </c>
    </row>
    <row r="5" spans="1:14" x14ac:dyDescent="0.3">
      <c r="A5">
        <v>2020</v>
      </c>
      <c r="B5">
        <v>285.315</v>
      </c>
      <c r="C5">
        <f t="shared" si="0"/>
        <v>1.1629392075425407</v>
      </c>
      <c r="D5">
        <f t="shared" si="1"/>
        <v>1.118847589506335</v>
      </c>
      <c r="E5">
        <f t="shared" si="2"/>
        <v>1.0422550514343796</v>
      </c>
      <c r="F5">
        <f t="shared" si="3"/>
        <v>1</v>
      </c>
    </row>
    <row r="6" spans="1:14" x14ac:dyDescent="0.3">
      <c r="A6">
        <v>2019</v>
      </c>
      <c r="B6">
        <v>280.63799999999998</v>
      </c>
      <c r="C6">
        <f t="shared" si="0"/>
        <v>1.1823202844946159</v>
      </c>
      <c r="D6">
        <f t="shared" si="1"/>
        <v>1.1374938532914289</v>
      </c>
      <c r="E6">
        <f t="shared" si="2"/>
        <v>1.0596248547951455</v>
      </c>
      <c r="F6">
        <f t="shared" si="3"/>
        <v>1.0166655976738717</v>
      </c>
    </row>
    <row r="7" spans="1:14" x14ac:dyDescent="0.3">
      <c r="A7">
        <v>2018</v>
      </c>
      <c r="B7">
        <v>272.51</v>
      </c>
      <c r="C7">
        <f t="shared" si="0"/>
        <v>1.2175846757917139</v>
      </c>
      <c r="D7">
        <f t="shared" si="1"/>
        <v>1.1714212322483579</v>
      </c>
      <c r="E7">
        <f t="shared" si="2"/>
        <v>1.0912296796447836</v>
      </c>
      <c r="F7">
        <f t="shared" si="3"/>
        <v>1.0469891013173829</v>
      </c>
    </row>
    <row r="8" spans="1:14" x14ac:dyDescent="0.3">
      <c r="A8">
        <v>2017</v>
      </c>
      <c r="B8">
        <v>262.80200000000002</v>
      </c>
      <c r="C8">
        <f t="shared" si="0"/>
        <v>1.2625626897816604</v>
      </c>
      <c r="D8">
        <f t="shared" si="1"/>
        <v>1.2146939521008211</v>
      </c>
      <c r="E8">
        <f t="shared" si="2"/>
        <v>1.1315400948242402</v>
      </c>
      <c r="F8">
        <f t="shared" si="3"/>
        <v>1.0856652536890889</v>
      </c>
    </row>
    <row r="9" spans="1:14" x14ac:dyDescent="0.3">
      <c r="A9">
        <v>2016</v>
      </c>
      <c r="B9">
        <v>255.303</v>
      </c>
      <c r="C9">
        <f t="shared" si="0"/>
        <v>1.2996478693944058</v>
      </c>
      <c r="D9">
        <f t="shared" si="1"/>
        <v>1.2503730860976956</v>
      </c>
      <c r="E9">
        <f t="shared" si="2"/>
        <v>1.1647767554631163</v>
      </c>
      <c r="F9">
        <f t="shared" si="3"/>
        <v>1.1175544353180338</v>
      </c>
    </row>
    <row r="10" spans="1:14" x14ac:dyDescent="0.3">
      <c r="A10">
        <v>2015</v>
      </c>
      <c r="B10">
        <v>249.666</v>
      </c>
      <c r="C10">
        <f t="shared" si="0"/>
        <v>1.3289915326876707</v>
      </c>
      <c r="D10">
        <f t="shared" si="1"/>
        <v>1.2786042152315493</v>
      </c>
      <c r="E10">
        <f t="shared" si="2"/>
        <v>1.1910752765694967</v>
      </c>
      <c r="F10">
        <f t="shared" si="3"/>
        <v>1.1427867631155224</v>
      </c>
    </row>
    <row r="11" spans="1:14" x14ac:dyDescent="0.3">
      <c r="A11">
        <v>2014</v>
      </c>
      <c r="B11">
        <v>246.05500000000001</v>
      </c>
      <c r="C11">
        <f t="shared" si="0"/>
        <v>1.3484952551258864</v>
      </c>
      <c r="D11">
        <f t="shared" si="1"/>
        <v>1.2973684745280525</v>
      </c>
      <c r="E11">
        <f t="shared" si="2"/>
        <v>1.2085549978663306</v>
      </c>
      <c r="F11">
        <f t="shared" si="3"/>
        <v>1.1595578224380727</v>
      </c>
    </row>
    <row r="12" spans="1:14" x14ac:dyDescent="0.3">
      <c r="A12">
        <v>2013</v>
      </c>
      <c r="B12">
        <v>241.62299999999999</v>
      </c>
      <c r="C12">
        <f t="shared" si="0"/>
        <v>1.3732301974563679</v>
      </c>
      <c r="D12">
        <f t="shared" si="1"/>
        <v>1.321165617511578</v>
      </c>
      <c r="E12">
        <f t="shared" si="2"/>
        <v>1.2307230685820472</v>
      </c>
      <c r="F12">
        <f t="shared" si="3"/>
        <v>1.1808271563551485</v>
      </c>
    </row>
    <row r="13" spans="1:14" x14ac:dyDescent="0.3">
      <c r="A13">
        <v>2012</v>
      </c>
      <c r="B13">
        <v>238.155</v>
      </c>
      <c r="C13">
        <f t="shared" si="0"/>
        <v>1.3932270999979004</v>
      </c>
      <c r="D13">
        <f t="shared" si="1"/>
        <v>1.340404358506015</v>
      </c>
      <c r="E13">
        <f t="shared" si="2"/>
        <v>1.2486447901576703</v>
      </c>
      <c r="F13">
        <f t="shared" si="3"/>
        <v>1.1980222964036027</v>
      </c>
    </row>
    <row r="14" spans="1:14" x14ac:dyDescent="0.3">
      <c r="A14">
        <v>2011</v>
      </c>
      <c r="B14">
        <v>232.93</v>
      </c>
      <c r="C14">
        <f t="shared" si="0"/>
        <v>1.4244794573477009</v>
      </c>
      <c r="D14">
        <f t="shared" si="1"/>
        <v>1.3704718155669084</v>
      </c>
      <c r="E14">
        <f t="shared" si="2"/>
        <v>1.2766539303653457</v>
      </c>
      <c r="F14">
        <f t="shared" si="3"/>
        <v>1.2248958914695403</v>
      </c>
    </row>
    <row r="15" spans="1:14" x14ac:dyDescent="0.3">
      <c r="A15">
        <v>2010</v>
      </c>
      <c r="B15">
        <v>226.91900000000001</v>
      </c>
      <c r="C15">
        <f t="shared" si="0"/>
        <v>1.4622133889185125</v>
      </c>
      <c r="D15">
        <f t="shared" si="1"/>
        <v>1.4067751047730688</v>
      </c>
      <c r="E15">
        <f t="shared" si="2"/>
        <v>1.3104720186498264</v>
      </c>
      <c r="F15">
        <f t="shared" si="3"/>
        <v>1.2573429285339701</v>
      </c>
    </row>
    <row r="16" spans="1:14" x14ac:dyDescent="0.3">
      <c r="A16">
        <v>2009</v>
      </c>
      <c r="B16">
        <v>224.11</v>
      </c>
      <c r="C16">
        <f t="shared" si="0"/>
        <v>1.4805408058542677</v>
      </c>
      <c r="D16">
        <f t="shared" si="1"/>
        <v>1.4244076569541742</v>
      </c>
      <c r="E16">
        <f t="shared" si="2"/>
        <v>1.3268975056891703</v>
      </c>
      <c r="F16">
        <f t="shared" si="3"/>
        <v>1.2731024943108293</v>
      </c>
    </row>
    <row r="17" spans="1:6" x14ac:dyDescent="0.3">
      <c r="A17">
        <v>2008</v>
      </c>
      <c r="B17">
        <v>224.80699999999999</v>
      </c>
      <c r="C17">
        <f t="shared" si="0"/>
        <v>1.4759504819689777</v>
      </c>
      <c r="D17">
        <f t="shared" si="1"/>
        <v>1.4199913703754776</v>
      </c>
      <c r="E17">
        <f t="shared" si="2"/>
        <v>1.3227835432170707</v>
      </c>
      <c r="F17">
        <f t="shared" si="3"/>
        <v>1.2691553198966226</v>
      </c>
    </row>
    <row r="18" spans="1:6" x14ac:dyDescent="0.3">
      <c r="A18">
        <v>2007</v>
      </c>
      <c r="B18">
        <v>217.42400000000001</v>
      </c>
      <c r="C18">
        <f t="shared" si="0"/>
        <v>1.5260688792405621</v>
      </c>
      <c r="D18">
        <f t="shared" si="1"/>
        <v>1.4682095812789755</v>
      </c>
      <c r="E18">
        <f t="shared" si="2"/>
        <v>1.3677008977849729</v>
      </c>
      <c r="F18">
        <f t="shared" si="3"/>
        <v>1.3122516373537418</v>
      </c>
    </row>
    <row r="19" spans="1:6" x14ac:dyDescent="0.3">
      <c r="A19">
        <v>2006</v>
      </c>
      <c r="B19">
        <v>210.5</v>
      </c>
      <c r="C19">
        <f t="shared" si="0"/>
        <v>1.5762660332541567</v>
      </c>
      <c r="D19">
        <f t="shared" si="1"/>
        <v>1.516503562945368</v>
      </c>
      <c r="E19">
        <f t="shared" si="2"/>
        <v>1.4126888361045129</v>
      </c>
      <c r="F19">
        <f t="shared" si="3"/>
        <v>1.35541567695962</v>
      </c>
    </row>
    <row r="20" spans="1:6" x14ac:dyDescent="0.3">
      <c r="A20">
        <v>2005</v>
      </c>
      <c r="B20">
        <v>202.6</v>
      </c>
      <c r="C20">
        <f t="shared" si="0"/>
        <v>1.6377295162882526</v>
      </c>
      <c r="D20">
        <f t="shared" si="1"/>
        <v>1.5756367226061205</v>
      </c>
      <c r="E20">
        <f t="shared" si="2"/>
        <v>1.4677739387956563</v>
      </c>
      <c r="F20">
        <f t="shared" si="3"/>
        <v>1.4082675222112537</v>
      </c>
    </row>
    <row r="21" spans="1:6" x14ac:dyDescent="0.3">
      <c r="A21">
        <v>2004</v>
      </c>
      <c r="B21">
        <v>195.4</v>
      </c>
      <c r="C21">
        <f t="shared" si="0"/>
        <v>1.6980757420675536</v>
      </c>
      <c r="D21">
        <f t="shared" si="1"/>
        <v>1.633694984646878</v>
      </c>
      <c r="E21">
        <f t="shared" si="2"/>
        <v>1.5218577277379732</v>
      </c>
      <c r="F21">
        <f t="shared" si="3"/>
        <v>1.4601586489252814</v>
      </c>
    </row>
    <row r="22" spans="1:6" x14ac:dyDescent="0.3">
      <c r="A22">
        <v>2003</v>
      </c>
      <c r="B22">
        <v>190.4</v>
      </c>
      <c r="C22">
        <f t="shared" si="0"/>
        <v>1.7426680672268906</v>
      </c>
      <c r="D22">
        <f t="shared" si="1"/>
        <v>1.676596638655462</v>
      </c>
      <c r="E22">
        <f t="shared" si="2"/>
        <v>1.5618224789915964</v>
      </c>
      <c r="F22">
        <f t="shared" si="3"/>
        <v>1.498503151260504</v>
      </c>
    </row>
    <row r="23" spans="1:6" x14ac:dyDescent="0.3">
      <c r="A23">
        <v>2002</v>
      </c>
      <c r="B23">
        <v>186.1</v>
      </c>
      <c r="C23">
        <f t="shared" si="0"/>
        <v>1.7829339065018805</v>
      </c>
      <c r="D23">
        <f t="shared" si="1"/>
        <v>1.715335840945728</v>
      </c>
      <c r="E23">
        <f t="shared" si="2"/>
        <v>1.5979097259537882</v>
      </c>
      <c r="F23">
        <f t="shared" si="3"/>
        <v>1.5331273508866201</v>
      </c>
    </row>
    <row r="24" spans="1:6" x14ac:dyDescent="0.3">
      <c r="A24">
        <v>2001</v>
      </c>
      <c r="B24">
        <v>181.7</v>
      </c>
      <c r="C24">
        <f t="shared" si="0"/>
        <v>1.8261089708310401</v>
      </c>
      <c r="D24">
        <f t="shared" si="1"/>
        <v>1.7568739680792516</v>
      </c>
      <c r="E24">
        <f t="shared" si="2"/>
        <v>1.6366042927903137</v>
      </c>
      <c r="F24">
        <f t="shared" si="3"/>
        <v>1.5702531645569622</v>
      </c>
    </row>
    <row r="25" spans="1:6" x14ac:dyDescent="0.3">
      <c r="A25">
        <v>2000</v>
      </c>
      <c r="B25">
        <v>174.8</v>
      </c>
      <c r="C25">
        <f t="shared" si="0"/>
        <v>1.8981922196796337</v>
      </c>
      <c r="D25">
        <f t="shared" si="1"/>
        <v>1.8262242562929061</v>
      </c>
      <c r="E25">
        <f t="shared" si="2"/>
        <v>1.70120709382151</v>
      </c>
      <c r="F25">
        <f t="shared" si="3"/>
        <v>1.6322368421052631</v>
      </c>
    </row>
    <row r="26" spans="1:6" x14ac:dyDescent="0.3">
      <c r="A26">
        <v>1999</v>
      </c>
      <c r="B26">
        <v>168.5</v>
      </c>
      <c r="C26">
        <f t="shared" si="0"/>
        <v>1.9691632047477743</v>
      </c>
      <c r="D26">
        <f t="shared" si="1"/>
        <v>1.8945044510385756</v>
      </c>
      <c r="E26">
        <f t="shared" si="2"/>
        <v>1.7648130563798219</v>
      </c>
      <c r="F26">
        <f t="shared" si="3"/>
        <v>1.6932640949554896</v>
      </c>
    </row>
    <row r="27" spans="1:6" x14ac:dyDescent="0.3">
      <c r="A27">
        <v>1998</v>
      </c>
      <c r="B27">
        <v>163.69999999999999</v>
      </c>
      <c r="C27">
        <f t="shared" si="0"/>
        <v>2.0269028711056811</v>
      </c>
      <c r="D27">
        <f t="shared" si="1"/>
        <v>1.9500549786194259</v>
      </c>
      <c r="E27">
        <f t="shared" si="2"/>
        <v>1.8165607819181429</v>
      </c>
      <c r="F27">
        <f t="shared" si="3"/>
        <v>1.7429138668295663</v>
      </c>
    </row>
    <row r="28" spans="1:6" x14ac:dyDescent="0.3">
      <c r="A28">
        <v>1997</v>
      </c>
      <c r="B28">
        <v>160.5</v>
      </c>
      <c r="C28">
        <f t="shared" si="0"/>
        <v>2.0673146417445483</v>
      </c>
      <c r="D28">
        <f t="shared" si="1"/>
        <v>1.9889345794392523</v>
      </c>
      <c r="E28">
        <f t="shared" si="2"/>
        <v>1.8527788161993768</v>
      </c>
      <c r="F28">
        <f t="shared" si="3"/>
        <v>1.777663551401869</v>
      </c>
    </row>
    <row r="29" spans="1:6" x14ac:dyDescent="0.3">
      <c r="A29">
        <v>1996</v>
      </c>
      <c r="B29">
        <v>157.1</v>
      </c>
      <c r="C29">
        <f t="shared" si="0"/>
        <v>2.1120560152768935</v>
      </c>
      <c r="D29">
        <f t="shared" si="1"/>
        <v>2.0319796308084022</v>
      </c>
      <c r="E29">
        <f t="shared" si="2"/>
        <v>1.8928771483131763</v>
      </c>
      <c r="F29">
        <f t="shared" si="3"/>
        <v>1.8161362189688097</v>
      </c>
    </row>
    <row r="30" spans="1:6" x14ac:dyDescent="0.3">
      <c r="A30">
        <v>1995</v>
      </c>
      <c r="B30">
        <v>154</v>
      </c>
      <c r="C30">
        <f t="shared" si="0"/>
        <v>2.1545714285714284</v>
      </c>
      <c r="D30">
        <f t="shared" si="1"/>
        <v>2.072883116883117</v>
      </c>
      <c r="E30">
        <f t="shared" si="2"/>
        <v>1.9309805194805194</v>
      </c>
      <c r="F30">
        <f t="shared" si="3"/>
        <v>1.8526948051948051</v>
      </c>
    </row>
    <row r="31" spans="1:6" x14ac:dyDescent="0.3">
      <c r="A31">
        <v>1994</v>
      </c>
      <c r="B31">
        <v>151.5</v>
      </c>
      <c r="C31">
        <f t="shared" si="0"/>
        <v>2.1901254125412541</v>
      </c>
      <c r="D31">
        <f t="shared" si="1"/>
        <v>2.1070891089108912</v>
      </c>
      <c r="E31">
        <f t="shared" si="2"/>
        <v>1.9628448844884487</v>
      </c>
      <c r="F31">
        <f t="shared" si="3"/>
        <v>1.8832673267326732</v>
      </c>
    </row>
    <row r="32" spans="1:6" x14ac:dyDescent="0.3">
      <c r="A32">
        <v>1993</v>
      </c>
      <c r="B32">
        <v>149.4</v>
      </c>
      <c r="C32">
        <f t="shared" si="0"/>
        <v>2.2209103078982593</v>
      </c>
      <c r="D32">
        <f t="shared" si="1"/>
        <v>2.1367068273092369</v>
      </c>
      <c r="E32">
        <f t="shared" si="2"/>
        <v>1.9904350736278444</v>
      </c>
      <c r="F32">
        <f t="shared" si="3"/>
        <v>1.9097389558232931</v>
      </c>
    </row>
    <row r="33" spans="1:6" x14ac:dyDescent="0.3">
      <c r="A33">
        <v>1992</v>
      </c>
      <c r="B33">
        <v>145.6</v>
      </c>
      <c r="C33">
        <f t="shared" si="0"/>
        <v>2.2788736263736262</v>
      </c>
      <c r="D33">
        <f t="shared" si="1"/>
        <v>2.1924725274725274</v>
      </c>
      <c r="E33">
        <f t="shared" si="2"/>
        <v>2.0423832417582415</v>
      </c>
      <c r="F33">
        <f t="shared" si="3"/>
        <v>1.9595810439560439</v>
      </c>
    </row>
    <row r="34" spans="1:6" x14ac:dyDescent="0.3">
      <c r="A34">
        <v>1991</v>
      </c>
      <c r="B34">
        <v>140.6</v>
      </c>
      <c r="C34">
        <f t="shared" si="0"/>
        <v>2.3599146514935989</v>
      </c>
      <c r="D34">
        <f t="shared" si="1"/>
        <v>2.2704409672830725</v>
      </c>
      <c r="E34">
        <f t="shared" si="2"/>
        <v>2.1150142247510666</v>
      </c>
      <c r="F34">
        <f t="shared" si="3"/>
        <v>2.0292674253200569</v>
      </c>
    </row>
    <row r="35" spans="1:6" x14ac:dyDescent="0.3">
      <c r="A35">
        <v>1990</v>
      </c>
      <c r="B35">
        <v>135</v>
      </c>
      <c r="C35">
        <f t="shared" si="0"/>
        <v>2.4578074074074072</v>
      </c>
      <c r="D35">
        <f t="shared" si="1"/>
        <v>2.3646222222222222</v>
      </c>
      <c r="E35">
        <f t="shared" si="2"/>
        <v>2.2027481481481481</v>
      </c>
      <c r="F35">
        <f t="shared" si="3"/>
        <v>2.1134444444444442</v>
      </c>
    </row>
    <row r="36" spans="1:6" x14ac:dyDescent="0.3">
      <c r="A36">
        <v>1989</v>
      </c>
      <c r="B36">
        <v>128</v>
      </c>
      <c r="C36">
        <f t="shared" si="0"/>
        <v>2.5922187499999998</v>
      </c>
      <c r="D36">
        <f t="shared" si="1"/>
        <v>2.4939374999999999</v>
      </c>
      <c r="E36">
        <f t="shared" si="2"/>
        <v>2.3232109374999999</v>
      </c>
      <c r="F36">
        <f t="shared" si="3"/>
        <v>2.2290234375</v>
      </c>
    </row>
    <row r="37" spans="1:6" x14ac:dyDescent="0.3">
      <c r="A37">
        <v>1988</v>
      </c>
      <c r="B37">
        <v>121.9</v>
      </c>
      <c r="C37">
        <f t="shared" si="0"/>
        <v>2.7219360131255126</v>
      </c>
      <c r="D37">
        <f t="shared" si="1"/>
        <v>2.6187366694011485</v>
      </c>
      <c r="E37">
        <f t="shared" si="2"/>
        <v>2.439466776045939</v>
      </c>
      <c r="F37">
        <f t="shared" si="3"/>
        <v>2.340566037735849</v>
      </c>
    </row>
    <row r="38" spans="1:6" x14ac:dyDescent="0.3">
      <c r="A38">
        <v>1987</v>
      </c>
      <c r="B38">
        <v>116.5</v>
      </c>
      <c r="C38">
        <f t="shared" si="0"/>
        <v>2.8481030042918452</v>
      </c>
      <c r="D38">
        <f t="shared" si="1"/>
        <v>2.7401201716738197</v>
      </c>
      <c r="E38">
        <f t="shared" si="2"/>
        <v>2.5525407725321885</v>
      </c>
      <c r="F38">
        <f t="shared" si="3"/>
        <v>2.4490557939914162</v>
      </c>
    </row>
    <row r="39" spans="1:6" x14ac:dyDescent="0.3">
      <c r="A39">
        <v>1986</v>
      </c>
      <c r="B39">
        <v>112</v>
      </c>
      <c r="C39">
        <f t="shared" si="0"/>
        <v>2.9625357142857141</v>
      </c>
      <c r="D39">
        <f t="shared" si="1"/>
        <v>2.8502142857142858</v>
      </c>
      <c r="E39">
        <f t="shared" si="2"/>
        <v>2.6550982142857142</v>
      </c>
      <c r="F39">
        <f t="shared" si="3"/>
        <v>2.5474553571428573</v>
      </c>
    </row>
    <row r="40" spans="1:6" x14ac:dyDescent="0.3">
      <c r="A40">
        <v>1985</v>
      </c>
      <c r="B40">
        <v>108.6</v>
      </c>
      <c r="C40">
        <f t="shared" si="0"/>
        <v>3.0552854511970535</v>
      </c>
      <c r="D40">
        <f t="shared" si="1"/>
        <v>2.939447513812155</v>
      </c>
      <c r="E40">
        <f t="shared" si="2"/>
        <v>2.7382228360957641</v>
      </c>
      <c r="F40">
        <f t="shared" si="3"/>
        <v>2.6272099447513813</v>
      </c>
    </row>
    <row r="41" spans="1:6" x14ac:dyDescent="0.3">
      <c r="A41">
        <v>1984</v>
      </c>
      <c r="B41">
        <v>103.8</v>
      </c>
      <c r="C41">
        <f t="shared" si="0"/>
        <v>3.1965703275529864</v>
      </c>
      <c r="D41">
        <f t="shared" si="1"/>
        <v>3.0753757225433525</v>
      </c>
      <c r="E41">
        <f t="shared" si="2"/>
        <v>2.8648458574181115</v>
      </c>
      <c r="F41">
        <f t="shared" si="3"/>
        <v>2.748699421965318</v>
      </c>
    </row>
    <row r="42" spans="1:6" x14ac:dyDescent="0.3">
      <c r="A42">
        <v>1983</v>
      </c>
      <c r="B42">
        <v>98.9</v>
      </c>
      <c r="C42">
        <f t="shared" si="0"/>
        <v>3.3549443882709804</v>
      </c>
      <c r="D42">
        <f t="shared" si="1"/>
        <v>3.2277451971688573</v>
      </c>
      <c r="E42">
        <f t="shared" si="2"/>
        <v>3.0067846309403432</v>
      </c>
      <c r="F42">
        <f t="shared" si="3"/>
        <v>2.8848837209302323</v>
      </c>
    </row>
    <row r="43" spans="1:6" x14ac:dyDescent="0.3">
      <c r="A43">
        <v>1982</v>
      </c>
      <c r="B43">
        <v>97.3</v>
      </c>
      <c r="C43">
        <f t="shared" si="0"/>
        <v>3.4101130524152103</v>
      </c>
      <c r="D43">
        <f t="shared" si="1"/>
        <v>3.2808221993833504</v>
      </c>
      <c r="E43">
        <f t="shared" si="2"/>
        <v>3.0562281603288795</v>
      </c>
      <c r="F43">
        <f t="shared" si="3"/>
        <v>2.9323227132579652</v>
      </c>
    </row>
    <row r="44" spans="1:6" x14ac:dyDescent="0.3">
      <c r="A44">
        <v>1981</v>
      </c>
      <c r="B44">
        <v>91.4</v>
      </c>
      <c r="C44">
        <f t="shared" si="0"/>
        <v>3.6302407002188177</v>
      </c>
      <c r="D44">
        <f t="shared" si="1"/>
        <v>3.492603938730853</v>
      </c>
      <c r="E44">
        <f t="shared" si="2"/>
        <v>3.2535120350109406</v>
      </c>
      <c r="F44">
        <f t="shared" si="3"/>
        <v>3.1216083150984679</v>
      </c>
    </row>
    <row r="45" spans="1:6" x14ac:dyDescent="0.3">
      <c r="A45">
        <v>1980</v>
      </c>
      <c r="B45">
        <v>82.4</v>
      </c>
      <c r="C45">
        <f t="shared" si="0"/>
        <v>4.0267475728155331</v>
      </c>
      <c r="D45">
        <f t="shared" si="1"/>
        <v>3.874077669902912</v>
      </c>
      <c r="E45">
        <f t="shared" si="2"/>
        <v>3.6088713592233006</v>
      </c>
      <c r="F45">
        <f t="shared" si="3"/>
        <v>3.4625606796116504</v>
      </c>
    </row>
    <row r="46" spans="1:6" x14ac:dyDescent="0.3">
      <c r="A46">
        <v>1979</v>
      </c>
      <c r="B46">
        <v>71.3</v>
      </c>
      <c r="C46">
        <f t="shared" si="0"/>
        <v>4.6536325385694246</v>
      </c>
      <c r="D46">
        <f t="shared" si="1"/>
        <v>4.4771949509116409</v>
      </c>
      <c r="E46">
        <f t="shared" si="2"/>
        <v>4.1707012622720896</v>
      </c>
      <c r="F46">
        <f t="shared" si="3"/>
        <v>4.0016129032258068</v>
      </c>
    </row>
    <row r="47" spans="1:6" x14ac:dyDescent="0.3">
      <c r="A47">
        <v>1978</v>
      </c>
      <c r="B47">
        <v>64.400000000000006</v>
      </c>
      <c r="C47">
        <f t="shared" si="0"/>
        <v>5.1522360248447194</v>
      </c>
      <c r="D47">
        <f t="shared" si="1"/>
        <v>4.9568944099378873</v>
      </c>
      <c r="E47">
        <f t="shared" si="2"/>
        <v>4.6175621118012415</v>
      </c>
      <c r="F47">
        <f t="shared" si="3"/>
        <v>4.430357142857142</v>
      </c>
    </row>
    <row r="48" spans="1:6" x14ac:dyDescent="0.3">
      <c r="A48">
        <v>1977</v>
      </c>
      <c r="B48">
        <v>59.5</v>
      </c>
      <c r="C48">
        <f t="shared" si="0"/>
        <v>5.5765378151260503</v>
      </c>
      <c r="D48">
        <f t="shared" si="1"/>
        <v>5.3651092436974785</v>
      </c>
      <c r="E48">
        <f t="shared" si="2"/>
        <v>4.9978319327731091</v>
      </c>
      <c r="F48">
        <f t="shared" si="3"/>
        <v>4.7952100840336138</v>
      </c>
    </row>
    <row r="49" spans="1:6" x14ac:dyDescent="0.3">
      <c r="A49">
        <v>1976</v>
      </c>
      <c r="B49">
        <v>55.6</v>
      </c>
      <c r="C49">
        <f t="shared" si="0"/>
        <v>5.9676978417266184</v>
      </c>
      <c r="D49">
        <f t="shared" si="1"/>
        <v>5.741438848920863</v>
      </c>
      <c r="E49">
        <f t="shared" si="2"/>
        <v>5.3483992805755394</v>
      </c>
      <c r="F49">
        <f t="shared" si="3"/>
        <v>5.1315647482014386</v>
      </c>
    </row>
    <row r="50" spans="1:6" x14ac:dyDescent="0.3">
      <c r="A50">
        <v>1975</v>
      </c>
      <c r="B50">
        <v>52.3</v>
      </c>
      <c r="C50">
        <f t="shared" si="0"/>
        <v>6.3442447418738048</v>
      </c>
      <c r="D50">
        <f t="shared" si="1"/>
        <v>6.1037093690248572</v>
      </c>
      <c r="E50">
        <f t="shared" si="2"/>
        <v>5.6858699808795414</v>
      </c>
      <c r="F50">
        <f t="shared" si="3"/>
        <v>5.4553537284894844</v>
      </c>
    </row>
    <row r="51" spans="1:6" x14ac:dyDescent="0.3">
      <c r="A51">
        <v>1974</v>
      </c>
      <c r="B51">
        <v>47.4</v>
      </c>
      <c r="C51">
        <f t="shared" si="0"/>
        <v>7.0000843881856536</v>
      </c>
      <c r="D51">
        <f t="shared" si="1"/>
        <v>6.7346835443037971</v>
      </c>
      <c r="E51">
        <f t="shared" si="2"/>
        <v>6.2736497890295357</v>
      </c>
      <c r="F51">
        <f t="shared" si="3"/>
        <v>6.0193037974683543</v>
      </c>
    </row>
    <row r="52" spans="1:6" x14ac:dyDescent="0.3">
      <c r="A52">
        <v>1973</v>
      </c>
      <c r="B52">
        <v>43</v>
      </c>
      <c r="C52">
        <f t="shared" si="0"/>
        <v>7.7163720930232556</v>
      </c>
      <c r="D52">
        <f t="shared" si="1"/>
        <v>7.4238139534883718</v>
      </c>
      <c r="E52">
        <f t="shared" si="2"/>
        <v>6.9156046511627904</v>
      </c>
      <c r="F52">
        <f t="shared" si="3"/>
        <v>6.6352325581395348</v>
      </c>
    </row>
    <row r="53" spans="1:6" x14ac:dyDescent="0.3">
      <c r="A53">
        <v>1972</v>
      </c>
      <c r="B53">
        <v>40.6</v>
      </c>
      <c r="C53">
        <f t="shared" si="0"/>
        <v>8.1725123152709358</v>
      </c>
      <c r="D53">
        <f t="shared" si="1"/>
        <v>7.8626600985221673</v>
      </c>
      <c r="E53">
        <f t="shared" si="2"/>
        <v>7.3244088669950731</v>
      </c>
      <c r="F53">
        <f t="shared" si="3"/>
        <v>7.0274630541871916</v>
      </c>
    </row>
    <row r="54" spans="1:6" x14ac:dyDescent="0.3">
      <c r="A54">
        <v>1971</v>
      </c>
      <c r="B54">
        <v>39.299999999999997</v>
      </c>
      <c r="C54">
        <f t="shared" si="0"/>
        <v>8.4428498727735377</v>
      </c>
      <c r="D54">
        <f t="shared" si="1"/>
        <v>8.1227480916030537</v>
      </c>
      <c r="E54">
        <f t="shared" si="2"/>
        <v>7.5666921119592878</v>
      </c>
      <c r="F54">
        <f t="shared" si="3"/>
        <v>7.2599236641221383</v>
      </c>
    </row>
    <row r="55" spans="1:6" x14ac:dyDescent="0.3">
      <c r="A55">
        <v>1970</v>
      </c>
      <c r="B55">
        <v>37.9</v>
      </c>
      <c r="C55">
        <f t="shared" si="0"/>
        <v>8.7547229551451178</v>
      </c>
      <c r="D55">
        <f t="shared" si="1"/>
        <v>8.4227968337730879</v>
      </c>
      <c r="E55">
        <f t="shared" si="2"/>
        <v>7.8462005277044851</v>
      </c>
      <c r="F55">
        <f t="shared" si="3"/>
        <v>7.5281002638522434</v>
      </c>
    </row>
    <row r="56" spans="1:6" x14ac:dyDescent="0.3">
      <c r="A56">
        <v>1969</v>
      </c>
      <c r="B56">
        <v>36.1</v>
      </c>
      <c r="C56">
        <f t="shared" si="0"/>
        <v>9.1912465373961201</v>
      </c>
      <c r="D56">
        <f t="shared" si="1"/>
        <v>8.8427700831024918</v>
      </c>
      <c r="E56">
        <f t="shared" si="2"/>
        <v>8.2374238227146801</v>
      </c>
      <c r="F56">
        <f t="shared" si="3"/>
        <v>7.9034626038781157</v>
      </c>
    </row>
    <row r="57" spans="1:6" x14ac:dyDescent="0.3">
      <c r="A57">
        <v>1968</v>
      </c>
      <c r="B57">
        <v>34.4</v>
      </c>
      <c r="C57">
        <f t="shared" si="0"/>
        <v>9.6454651162790697</v>
      </c>
      <c r="D57">
        <f t="shared" si="1"/>
        <v>9.2797674418604643</v>
      </c>
      <c r="E57">
        <f t="shared" si="2"/>
        <v>8.6445058139534883</v>
      </c>
      <c r="F57">
        <f t="shared" si="3"/>
        <v>8.2940406976744185</v>
      </c>
    </row>
    <row r="58" spans="1:6" x14ac:dyDescent="0.3">
      <c r="A58">
        <v>1967</v>
      </c>
      <c r="B58">
        <v>33</v>
      </c>
      <c r="C58">
        <f t="shared" si="0"/>
        <v>10.054666666666666</v>
      </c>
      <c r="D58">
        <f t="shared" si="1"/>
        <v>9.6734545454545451</v>
      </c>
      <c r="E58">
        <f t="shared" si="2"/>
        <v>9.0112424242424236</v>
      </c>
      <c r="F58">
        <f t="shared" si="3"/>
        <v>8.6459090909090914</v>
      </c>
    </row>
    <row r="59" spans="1:6" x14ac:dyDescent="0.3">
      <c r="A59">
        <v>1966</v>
      </c>
      <c r="B59">
        <v>32.200000000000003</v>
      </c>
      <c r="C59">
        <f t="shared" si="0"/>
        <v>10.304472049689439</v>
      </c>
      <c r="D59">
        <f t="shared" si="1"/>
        <v>9.9137888198757746</v>
      </c>
      <c r="E59">
        <f t="shared" si="2"/>
        <v>9.2351242236024831</v>
      </c>
      <c r="F59">
        <f t="shared" si="3"/>
        <v>8.860714285714284</v>
      </c>
    </row>
    <row r="60" spans="1:6" x14ac:dyDescent="0.3">
      <c r="A60">
        <v>1965</v>
      </c>
      <c r="B60">
        <v>31.5</v>
      </c>
      <c r="C60">
        <f t="shared" si="0"/>
        <v>10.533460317460317</v>
      </c>
      <c r="D60">
        <f t="shared" si="1"/>
        <v>10.134095238095238</v>
      </c>
      <c r="E60">
        <f t="shared" si="2"/>
        <v>9.4403492063492056</v>
      </c>
      <c r="F60">
        <f t="shared" si="3"/>
        <v>9.0576190476190472</v>
      </c>
    </row>
    <row r="61" spans="1:6" x14ac:dyDescent="0.3">
      <c r="A61">
        <v>1964</v>
      </c>
      <c r="B61">
        <v>31</v>
      </c>
      <c r="C61">
        <f t="shared" si="0"/>
        <v>10.703354838709677</v>
      </c>
      <c r="D61">
        <f t="shared" si="1"/>
        <v>10.297548387096773</v>
      </c>
      <c r="E61">
        <f t="shared" si="2"/>
        <v>9.5926129032258061</v>
      </c>
      <c r="F61">
        <f t="shared" si="3"/>
        <v>9.2037096774193543</v>
      </c>
    </row>
    <row r="62" spans="1:6" x14ac:dyDescent="0.3">
      <c r="A62">
        <v>1963</v>
      </c>
      <c r="B62">
        <v>30.4</v>
      </c>
      <c r="C62">
        <f t="shared" si="0"/>
        <v>10.914605263157894</v>
      </c>
      <c r="D62">
        <f t="shared" si="1"/>
        <v>10.500789473684211</v>
      </c>
      <c r="E62">
        <f t="shared" si="2"/>
        <v>9.7819407894736834</v>
      </c>
      <c r="F62">
        <f t="shared" si="3"/>
        <v>9.3853618421052634</v>
      </c>
    </row>
    <row r="63" spans="1:6" x14ac:dyDescent="0.3">
      <c r="A63">
        <v>1962</v>
      </c>
      <c r="B63">
        <v>29.9</v>
      </c>
      <c r="C63">
        <f t="shared" si="0"/>
        <v>11.097123745819397</v>
      </c>
      <c r="D63">
        <f t="shared" si="1"/>
        <v>10.67638795986622</v>
      </c>
      <c r="E63">
        <f t="shared" si="2"/>
        <v>9.945518394648829</v>
      </c>
      <c r="F63">
        <f t="shared" si="3"/>
        <v>9.542307692307693</v>
      </c>
    </row>
    <row r="64" spans="1:6" x14ac:dyDescent="0.3">
      <c r="A64">
        <v>1961</v>
      </c>
      <c r="B64">
        <v>29.5</v>
      </c>
      <c r="C64">
        <f t="shared" si="0"/>
        <v>11.247593220338983</v>
      </c>
      <c r="D64">
        <f t="shared" si="1"/>
        <v>10.82115254237288</v>
      </c>
      <c r="E64">
        <f t="shared" si="2"/>
        <v>10.080372881355931</v>
      </c>
      <c r="F64">
        <f t="shared" si="3"/>
        <v>9.6716949152542373</v>
      </c>
    </row>
    <row r="65" spans="1:6" x14ac:dyDescent="0.3">
      <c r="A65">
        <v>1960</v>
      </c>
      <c r="B65">
        <v>29.2</v>
      </c>
      <c r="C65">
        <f t="shared" si="0"/>
        <v>11.363150684931506</v>
      </c>
      <c r="D65">
        <f t="shared" si="1"/>
        <v>10.932328767123288</v>
      </c>
      <c r="E65">
        <f t="shared" si="2"/>
        <v>10.183938356164383</v>
      </c>
      <c r="F65">
        <f t="shared" si="3"/>
        <v>9.7710616438356173</v>
      </c>
    </row>
    <row r="66" spans="1:6" x14ac:dyDescent="0.3">
      <c r="A66">
        <v>1959</v>
      </c>
      <c r="B66">
        <v>28.6</v>
      </c>
      <c r="C66">
        <f t="shared" si="0"/>
        <v>11.60153846153846</v>
      </c>
      <c r="D66">
        <f t="shared" si="1"/>
        <v>11.161678321678322</v>
      </c>
      <c r="E66">
        <f t="shared" si="2"/>
        <v>10.397587412587411</v>
      </c>
      <c r="F66">
        <f t="shared" si="3"/>
        <v>9.9760489510489503</v>
      </c>
    </row>
    <row r="67" spans="1:6" x14ac:dyDescent="0.3">
      <c r="A67">
        <v>1958</v>
      </c>
      <c r="B67">
        <v>28.1</v>
      </c>
      <c r="C67">
        <f t="shared" ref="C67:C70" si="4">$B$2/B67</f>
        <v>11.807971530249109</v>
      </c>
      <c r="D67">
        <f t="shared" ref="D67:D70" si="5">$B$3/B67</f>
        <v>11.360284697508895</v>
      </c>
      <c r="E67">
        <f t="shared" ref="E67:E70" si="6">$B$4/B67</f>
        <v>10.582597864768681</v>
      </c>
      <c r="F67">
        <f t="shared" ref="F67:F70" si="7">$B$5/B67</f>
        <v>10.153558718861209</v>
      </c>
    </row>
    <row r="68" spans="1:6" x14ac:dyDescent="0.3">
      <c r="A68">
        <v>1957</v>
      </c>
      <c r="B68">
        <v>27.1</v>
      </c>
      <c r="C68">
        <f t="shared" si="4"/>
        <v>12.243690036900368</v>
      </c>
      <c r="D68">
        <f t="shared" si="5"/>
        <v>11.779483394833948</v>
      </c>
      <c r="E68">
        <f t="shared" si="6"/>
        <v>10.973099630996309</v>
      </c>
      <c r="F68">
        <f t="shared" si="7"/>
        <v>10.528228782287822</v>
      </c>
    </row>
    <row r="69" spans="1:6" x14ac:dyDescent="0.3">
      <c r="A69">
        <v>1956</v>
      </c>
      <c r="B69">
        <v>26.2</v>
      </c>
      <c r="C69">
        <f t="shared" si="4"/>
        <v>12.664274809160304</v>
      </c>
      <c r="D69">
        <f t="shared" si="5"/>
        <v>12.18412213740458</v>
      </c>
      <c r="E69">
        <f t="shared" si="6"/>
        <v>11.350038167938932</v>
      </c>
      <c r="F69">
        <f t="shared" si="7"/>
        <v>10.889885496183206</v>
      </c>
    </row>
    <row r="70" spans="1:6" x14ac:dyDescent="0.3">
      <c r="A70">
        <v>1955</v>
      </c>
      <c r="B70">
        <v>25.7</v>
      </c>
      <c r="C70">
        <f t="shared" si="4"/>
        <v>12.910661478599222</v>
      </c>
      <c r="D70">
        <f t="shared" si="5"/>
        <v>12.421167315175097</v>
      </c>
      <c r="E70">
        <f t="shared" si="6"/>
        <v>11.570856031128404</v>
      </c>
      <c r="F70">
        <f t="shared" si="7"/>
        <v>11.101750972762646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C5B2D-FC47-4B6F-A6DD-58F5C5C56F60}">
  <dimension ref="A1:N47"/>
  <sheetViews>
    <sheetView workbookViewId="0">
      <selection activeCell="E8" sqref="E8"/>
    </sheetView>
  </sheetViews>
  <sheetFormatPr defaultRowHeight="13" x14ac:dyDescent="0.3"/>
  <sheetData>
    <row r="1" spans="1:14" x14ac:dyDescent="0.3">
      <c r="A1" s="1" t="s">
        <v>0</v>
      </c>
      <c r="B1" s="1" t="s">
        <v>6</v>
      </c>
      <c r="C1" s="1" t="s">
        <v>2</v>
      </c>
      <c r="D1" s="1" t="s">
        <v>3</v>
      </c>
      <c r="E1" s="1" t="s">
        <v>4</v>
      </c>
      <c r="F1" s="1" t="s">
        <v>5</v>
      </c>
      <c r="G1" s="1"/>
      <c r="H1" s="1"/>
      <c r="I1" s="1"/>
      <c r="J1" s="1"/>
      <c r="K1" s="1"/>
      <c r="L1" s="1"/>
      <c r="M1" s="1"/>
      <c r="N1" s="1"/>
    </row>
    <row r="2" spans="1:14" x14ac:dyDescent="0.3">
      <c r="A2">
        <v>2023</v>
      </c>
      <c r="B2">
        <v>449.3</v>
      </c>
      <c r="C2">
        <f>$B$2/B2</f>
        <v>1</v>
      </c>
      <c r="D2">
        <f>$B$3/B2</f>
        <v>0.96038281771644773</v>
      </c>
      <c r="E2">
        <f t="shared" ref="E2:E3" si="0">$B$4/B2</f>
        <v>0.88849321166258621</v>
      </c>
      <c r="F2">
        <f t="shared" ref="F2:F4" si="1">$B$5/B2</f>
        <v>0.84754061874026265</v>
      </c>
    </row>
    <row r="3" spans="1:14" x14ac:dyDescent="0.3">
      <c r="A3">
        <v>2022</v>
      </c>
      <c r="B3">
        <v>431.5</v>
      </c>
      <c r="C3">
        <f t="shared" ref="C3:C47" si="2">$B$2/B3</f>
        <v>1.0412514484356894</v>
      </c>
      <c r="D3">
        <f>$B$3/B3</f>
        <v>1</v>
      </c>
      <c r="E3">
        <f t="shared" si="0"/>
        <v>0.92514484356894555</v>
      </c>
      <c r="F3">
        <f t="shared" si="1"/>
        <v>0.88250289687137895</v>
      </c>
    </row>
    <row r="4" spans="1:14" x14ac:dyDescent="0.3">
      <c r="A4">
        <v>2021</v>
      </c>
      <c r="B4">
        <v>399.2</v>
      </c>
      <c r="C4">
        <f t="shared" si="2"/>
        <v>1.1255010020040082</v>
      </c>
      <c r="D4">
        <f t="shared" ref="D4:D47" si="3">$B$3/B4</f>
        <v>1.0809118236472945</v>
      </c>
      <c r="E4">
        <f>$B$4/B4</f>
        <v>1</v>
      </c>
      <c r="F4">
        <f t="shared" si="1"/>
        <v>0.95390781563126259</v>
      </c>
    </row>
    <row r="5" spans="1:14" x14ac:dyDescent="0.3">
      <c r="A5">
        <v>2020</v>
      </c>
      <c r="B5">
        <v>380.8</v>
      </c>
      <c r="C5">
        <f t="shared" si="2"/>
        <v>1.1798844537815125</v>
      </c>
      <c r="D5">
        <f t="shared" si="3"/>
        <v>1.1331407563025209</v>
      </c>
      <c r="E5">
        <f t="shared" ref="E5:E47" si="4">$B$4/B5</f>
        <v>1.0483193277310923</v>
      </c>
      <c r="F5">
        <f>$B$5/B5</f>
        <v>1</v>
      </c>
    </row>
    <row r="6" spans="1:14" x14ac:dyDescent="0.3">
      <c r="A6">
        <v>2019</v>
      </c>
      <c r="B6">
        <v>375.8</v>
      </c>
      <c r="C6">
        <f t="shared" si="2"/>
        <v>1.1955827567855242</v>
      </c>
      <c r="D6">
        <f t="shared" si="3"/>
        <v>1.1482171367748801</v>
      </c>
      <c r="E6">
        <f t="shared" si="4"/>
        <v>1.0622671633847791</v>
      </c>
      <c r="F6">
        <f t="shared" ref="F6:F47" si="5">$B$5/B6</f>
        <v>1.0133049494411921</v>
      </c>
    </row>
    <row r="7" spans="1:14" x14ac:dyDescent="0.3">
      <c r="A7">
        <v>2018</v>
      </c>
      <c r="B7">
        <v>369.1</v>
      </c>
      <c r="C7">
        <f t="shared" si="2"/>
        <v>1.2172852885396912</v>
      </c>
      <c r="D7">
        <f t="shared" si="3"/>
        <v>1.1690598753725276</v>
      </c>
      <c r="E7">
        <f t="shared" si="4"/>
        <v>1.0815497155242482</v>
      </c>
      <c r="F7">
        <f t="shared" si="5"/>
        <v>1.031698726632349</v>
      </c>
    </row>
    <row r="8" spans="1:14" x14ac:dyDescent="0.3">
      <c r="A8">
        <v>2017</v>
      </c>
      <c r="B8">
        <v>360.3</v>
      </c>
      <c r="C8">
        <f t="shared" si="2"/>
        <v>1.2470163752428531</v>
      </c>
      <c r="D8">
        <f t="shared" si="3"/>
        <v>1.1976131001942825</v>
      </c>
      <c r="E8" s="2">
        <f t="shared" si="4"/>
        <v>1.1079655842353593</v>
      </c>
      <c r="F8">
        <f t="shared" si="5"/>
        <v>1.0568970302525673</v>
      </c>
    </row>
    <row r="9" spans="1:14" x14ac:dyDescent="0.3">
      <c r="A9">
        <v>2016</v>
      </c>
      <c r="B9">
        <v>352.8</v>
      </c>
      <c r="C9">
        <f t="shared" si="2"/>
        <v>1.2735260770975056</v>
      </c>
      <c r="D9">
        <f t="shared" si="3"/>
        <v>1.2230725623582765</v>
      </c>
      <c r="E9">
        <f t="shared" si="4"/>
        <v>1.1315192743764171</v>
      </c>
      <c r="F9">
        <f t="shared" si="5"/>
        <v>1.0793650793650793</v>
      </c>
    </row>
    <row r="10" spans="1:14" x14ac:dyDescent="0.3">
      <c r="A10">
        <v>2015</v>
      </c>
      <c r="B10">
        <v>348.3</v>
      </c>
      <c r="C10">
        <f t="shared" si="2"/>
        <v>1.2899799023830032</v>
      </c>
      <c r="D10">
        <f t="shared" si="3"/>
        <v>1.2388745334481768</v>
      </c>
      <c r="E10">
        <f t="shared" si="4"/>
        <v>1.146138386448464</v>
      </c>
      <c r="F10">
        <f t="shared" si="5"/>
        <v>1.0933103646281941</v>
      </c>
    </row>
    <row r="11" spans="1:14" x14ac:dyDescent="0.3">
      <c r="A11">
        <v>2014</v>
      </c>
      <c r="B11">
        <v>347.7</v>
      </c>
      <c r="C11">
        <f t="shared" si="2"/>
        <v>1.2922059246476849</v>
      </c>
      <c r="D11">
        <f t="shared" si="3"/>
        <v>1.2410123669830313</v>
      </c>
      <c r="E11">
        <f t="shared" si="4"/>
        <v>1.1481161921196434</v>
      </c>
      <c r="F11">
        <f t="shared" si="5"/>
        <v>1.0951970089157321</v>
      </c>
    </row>
    <row r="12" spans="1:14" x14ac:dyDescent="0.3">
      <c r="A12">
        <v>2013</v>
      </c>
      <c r="B12">
        <v>342</v>
      </c>
      <c r="C12">
        <f t="shared" si="2"/>
        <v>1.3137426900584797</v>
      </c>
      <c r="D12">
        <f t="shared" si="3"/>
        <v>1.2616959064327486</v>
      </c>
      <c r="E12">
        <f t="shared" si="4"/>
        <v>1.1672514619883041</v>
      </c>
      <c r="F12">
        <f t="shared" si="5"/>
        <v>1.1134502923976608</v>
      </c>
    </row>
    <row r="13" spans="1:14" x14ac:dyDescent="0.3">
      <c r="A13">
        <v>2012</v>
      </c>
      <c r="B13">
        <v>336.9</v>
      </c>
      <c r="C13">
        <f t="shared" si="2"/>
        <v>1.3336301573167113</v>
      </c>
      <c r="D13">
        <f t="shared" si="3"/>
        <v>1.2807954882754526</v>
      </c>
      <c r="E13">
        <f t="shared" si="4"/>
        <v>1.1849213416444049</v>
      </c>
      <c r="F13">
        <f t="shared" si="5"/>
        <v>1.1303057287028793</v>
      </c>
    </row>
    <row r="14" spans="1:14" x14ac:dyDescent="0.3">
      <c r="A14">
        <v>2011</v>
      </c>
      <c r="B14">
        <v>330</v>
      </c>
      <c r="C14">
        <f t="shared" si="2"/>
        <v>1.3615151515151516</v>
      </c>
      <c r="D14">
        <f t="shared" si="3"/>
        <v>1.3075757575757576</v>
      </c>
      <c r="E14">
        <f t="shared" si="4"/>
        <v>1.2096969696969697</v>
      </c>
      <c r="F14">
        <f t="shared" si="5"/>
        <v>1.153939393939394</v>
      </c>
    </row>
    <row r="15" spans="1:14" x14ac:dyDescent="0.3">
      <c r="A15">
        <v>2010</v>
      </c>
      <c r="B15">
        <v>319.8</v>
      </c>
      <c r="C15">
        <f t="shared" si="2"/>
        <v>1.404940587867417</v>
      </c>
      <c r="D15">
        <f t="shared" si="3"/>
        <v>1.3492808005003127</v>
      </c>
      <c r="E15">
        <f t="shared" si="4"/>
        <v>1.2482801751094432</v>
      </c>
      <c r="F15">
        <f t="shared" si="5"/>
        <v>1.1907442151344589</v>
      </c>
    </row>
    <row r="16" spans="1:14" x14ac:dyDescent="0.3">
      <c r="A16">
        <v>2009</v>
      </c>
      <c r="B16">
        <v>314.7</v>
      </c>
      <c r="C16">
        <f t="shared" si="2"/>
        <v>1.4277089291388625</v>
      </c>
      <c r="D16">
        <f t="shared" si="3"/>
        <v>1.371147124245313</v>
      </c>
      <c r="E16">
        <f t="shared" si="4"/>
        <v>1.2685096917699397</v>
      </c>
      <c r="F16">
        <f t="shared" si="5"/>
        <v>1.2100413091833493</v>
      </c>
    </row>
    <row r="17" spans="1:6" x14ac:dyDescent="0.3">
      <c r="A17">
        <v>2008</v>
      </c>
      <c r="B17">
        <v>315.8</v>
      </c>
      <c r="C17">
        <f t="shared" si="2"/>
        <v>1.4227359088030398</v>
      </c>
      <c r="D17">
        <f t="shared" si="3"/>
        <v>1.3663711209626346</v>
      </c>
      <c r="E17">
        <f t="shared" si="4"/>
        <v>1.2640911969601012</v>
      </c>
      <c r="F17">
        <f t="shared" si="5"/>
        <v>1.2058264724509182</v>
      </c>
    </row>
    <row r="18" spans="1:6" x14ac:dyDescent="0.3">
      <c r="A18">
        <v>2007</v>
      </c>
      <c r="B18">
        <v>304.10000000000002</v>
      </c>
      <c r="C18">
        <f t="shared" si="2"/>
        <v>1.4774745149621835</v>
      </c>
      <c r="D18">
        <f t="shared" si="3"/>
        <v>1.4189411377836236</v>
      </c>
      <c r="E18">
        <f t="shared" si="4"/>
        <v>1.3127260769483722</v>
      </c>
      <c r="F18">
        <f t="shared" si="5"/>
        <v>1.2522196645840185</v>
      </c>
    </row>
    <row r="19" spans="1:6" x14ac:dyDescent="0.3">
      <c r="A19">
        <v>2006</v>
      </c>
      <c r="B19">
        <v>295.7</v>
      </c>
      <c r="C19">
        <f t="shared" si="2"/>
        <v>1.519445383834968</v>
      </c>
      <c r="D19">
        <f t="shared" si="3"/>
        <v>1.459249239093676</v>
      </c>
      <c r="E19">
        <f t="shared" si="4"/>
        <v>1.3500169090294216</v>
      </c>
      <c r="F19">
        <f t="shared" si="5"/>
        <v>1.2877916807575247</v>
      </c>
    </row>
    <row r="20" spans="1:6" x14ac:dyDescent="0.3">
      <c r="A20">
        <v>2005</v>
      </c>
      <c r="B20">
        <v>286.39999999999998</v>
      </c>
      <c r="C20">
        <f t="shared" si="2"/>
        <v>1.5687849162011174</v>
      </c>
      <c r="D20">
        <f t="shared" si="3"/>
        <v>1.5066340782122907</v>
      </c>
      <c r="E20">
        <f t="shared" si="4"/>
        <v>1.3938547486033521</v>
      </c>
      <c r="F20">
        <f t="shared" si="5"/>
        <v>1.3296089385474861</v>
      </c>
    </row>
    <row r="21" spans="1:6" x14ac:dyDescent="0.3">
      <c r="A21">
        <v>2004</v>
      </c>
      <c r="B21">
        <v>277</v>
      </c>
      <c r="C21">
        <f t="shared" si="2"/>
        <v>1.6220216606498195</v>
      </c>
      <c r="D21">
        <f t="shared" si="3"/>
        <v>1.5577617328519855</v>
      </c>
      <c r="E21">
        <f t="shared" si="4"/>
        <v>1.4411552346570398</v>
      </c>
      <c r="F21">
        <f t="shared" si="5"/>
        <v>1.3747292418772563</v>
      </c>
    </row>
    <row r="22" spans="1:6" x14ac:dyDescent="0.3">
      <c r="A22">
        <v>2003</v>
      </c>
      <c r="B22">
        <v>269.8</v>
      </c>
      <c r="C22">
        <f t="shared" si="2"/>
        <v>1.6653076352853966</v>
      </c>
      <c r="D22">
        <f t="shared" si="3"/>
        <v>1.5993328391401038</v>
      </c>
      <c r="E22">
        <f t="shared" si="4"/>
        <v>1.4796145292809488</v>
      </c>
      <c r="F22">
        <f t="shared" si="5"/>
        <v>1.4114158636026686</v>
      </c>
    </row>
    <row r="23" spans="1:6" x14ac:dyDescent="0.3">
      <c r="A23">
        <v>2002</v>
      </c>
      <c r="B23">
        <v>263.8</v>
      </c>
      <c r="C23">
        <f t="shared" si="2"/>
        <v>1.7031842304776346</v>
      </c>
      <c r="D23">
        <f t="shared" si="3"/>
        <v>1.6357088703563305</v>
      </c>
      <c r="E23">
        <f t="shared" si="4"/>
        <v>1.5132676269901439</v>
      </c>
      <c r="F23">
        <f t="shared" si="5"/>
        <v>1.4435178165276725</v>
      </c>
    </row>
    <row r="24" spans="1:6" x14ac:dyDescent="0.3">
      <c r="A24">
        <v>2001</v>
      </c>
      <c r="B24">
        <v>259.7</v>
      </c>
      <c r="C24">
        <f t="shared" si="2"/>
        <v>1.7300731613400078</v>
      </c>
      <c r="D24">
        <f t="shared" si="3"/>
        <v>1.6615325375433192</v>
      </c>
      <c r="E24">
        <f t="shared" si="4"/>
        <v>1.5371582595302271</v>
      </c>
      <c r="F24">
        <f t="shared" si="5"/>
        <v>1.4663072776280324</v>
      </c>
    </row>
    <row r="25" spans="1:6" x14ac:dyDescent="0.3">
      <c r="A25">
        <v>2000</v>
      </c>
      <c r="B25">
        <v>252.5</v>
      </c>
      <c r="C25">
        <f t="shared" si="2"/>
        <v>1.7794059405940594</v>
      </c>
      <c r="D25">
        <f t="shared" si="3"/>
        <v>1.7089108910891089</v>
      </c>
      <c r="E25">
        <f t="shared" si="4"/>
        <v>1.5809900990099008</v>
      </c>
      <c r="F25">
        <f t="shared" si="5"/>
        <v>1.5081188118811881</v>
      </c>
    </row>
    <row r="26" spans="1:6" x14ac:dyDescent="0.3">
      <c r="A26">
        <v>1999</v>
      </c>
      <c r="B26">
        <v>244.2</v>
      </c>
      <c r="C26">
        <f t="shared" si="2"/>
        <v>1.8398853398853401</v>
      </c>
      <c r="D26">
        <f t="shared" si="3"/>
        <v>1.7669942669942671</v>
      </c>
      <c r="E26">
        <f t="shared" si="4"/>
        <v>1.6347256347256347</v>
      </c>
      <c r="F26">
        <f t="shared" si="5"/>
        <v>1.5593775593775594</v>
      </c>
    </row>
    <row r="27" spans="1:6" x14ac:dyDescent="0.3">
      <c r="A27">
        <v>1998</v>
      </c>
      <c r="B27">
        <v>239.2</v>
      </c>
      <c r="C27">
        <f t="shared" si="2"/>
        <v>1.8783444816053514</v>
      </c>
      <c r="D27">
        <f t="shared" si="3"/>
        <v>1.8039297658862876</v>
      </c>
      <c r="E27">
        <f t="shared" si="4"/>
        <v>1.6688963210702341</v>
      </c>
      <c r="F27">
        <f t="shared" si="5"/>
        <v>1.5919732441471572</v>
      </c>
    </row>
    <row r="28" spans="1:6" x14ac:dyDescent="0.3">
      <c r="A28">
        <v>1997</v>
      </c>
      <c r="B28">
        <v>236</v>
      </c>
      <c r="C28">
        <f t="shared" si="2"/>
        <v>1.903813559322034</v>
      </c>
      <c r="D28">
        <f t="shared" si="3"/>
        <v>1.8283898305084745</v>
      </c>
      <c r="E28">
        <f t="shared" si="4"/>
        <v>1.6915254237288135</v>
      </c>
      <c r="F28">
        <f t="shared" si="5"/>
        <v>1.6135593220338984</v>
      </c>
    </row>
    <row r="29" spans="1:6" x14ac:dyDescent="0.3">
      <c r="A29">
        <v>1996</v>
      </c>
      <c r="B29">
        <v>231</v>
      </c>
      <c r="C29">
        <f t="shared" si="2"/>
        <v>1.9450216450216451</v>
      </c>
      <c r="D29">
        <f t="shared" si="3"/>
        <v>1.8679653679653681</v>
      </c>
      <c r="E29">
        <f t="shared" si="4"/>
        <v>1.7281385281385282</v>
      </c>
      <c r="F29">
        <f t="shared" si="5"/>
        <v>1.6484848484848484</v>
      </c>
    </row>
    <row r="30" spans="1:6" x14ac:dyDescent="0.3">
      <c r="A30">
        <v>1995</v>
      </c>
      <c r="B30">
        <v>225</v>
      </c>
      <c r="C30">
        <f t="shared" si="2"/>
        <v>1.9968888888888889</v>
      </c>
      <c r="D30">
        <f t="shared" si="3"/>
        <v>1.9177777777777778</v>
      </c>
      <c r="E30">
        <f t="shared" si="4"/>
        <v>1.7742222222222221</v>
      </c>
      <c r="F30">
        <f t="shared" si="5"/>
        <v>1.6924444444444444</v>
      </c>
    </row>
    <row r="31" spans="1:6" x14ac:dyDescent="0.3">
      <c r="A31">
        <v>1994</v>
      </c>
      <c r="B31">
        <v>219.7</v>
      </c>
      <c r="C31">
        <f t="shared" si="2"/>
        <v>2.0450614474283113</v>
      </c>
      <c r="D31">
        <f t="shared" si="3"/>
        <v>1.964041875284479</v>
      </c>
      <c r="E31">
        <f t="shared" si="4"/>
        <v>1.8170232134729176</v>
      </c>
      <c r="F31">
        <f t="shared" si="5"/>
        <v>1.7332726445152482</v>
      </c>
    </row>
    <row r="32" spans="1:6" x14ac:dyDescent="0.3">
      <c r="A32">
        <v>1993</v>
      </c>
      <c r="B32">
        <v>215.2</v>
      </c>
      <c r="C32">
        <f t="shared" si="2"/>
        <v>2.087825278810409</v>
      </c>
      <c r="D32">
        <f t="shared" si="3"/>
        <v>2.0051115241635689</v>
      </c>
      <c r="E32">
        <f t="shared" si="4"/>
        <v>1.8550185873605949</v>
      </c>
      <c r="F32">
        <f t="shared" si="5"/>
        <v>1.7695167286245355</v>
      </c>
    </row>
    <row r="33" spans="1:6" x14ac:dyDescent="0.3">
      <c r="A33">
        <v>1992</v>
      </c>
      <c r="B33">
        <v>209.9</v>
      </c>
      <c r="C33">
        <f t="shared" si="2"/>
        <v>2.1405431157694141</v>
      </c>
      <c r="D33">
        <f t="shared" si="3"/>
        <v>2.0557408289661745</v>
      </c>
      <c r="E33">
        <f t="shared" si="4"/>
        <v>1.9018580276322057</v>
      </c>
      <c r="F33">
        <f t="shared" si="5"/>
        <v>1.8141972367794188</v>
      </c>
    </row>
    <row r="34" spans="1:6" x14ac:dyDescent="0.3">
      <c r="A34">
        <v>1991</v>
      </c>
      <c r="B34">
        <v>204.8</v>
      </c>
      <c r="C34">
        <f t="shared" si="2"/>
        <v>2.19384765625</v>
      </c>
      <c r="D34">
        <f t="shared" si="3"/>
        <v>2.10693359375</v>
      </c>
      <c r="E34">
        <f t="shared" si="4"/>
        <v>1.9492187499999998</v>
      </c>
      <c r="F34">
        <f t="shared" si="5"/>
        <v>1.859375</v>
      </c>
    </row>
    <row r="35" spans="1:6" x14ac:dyDescent="0.3">
      <c r="A35">
        <v>1990</v>
      </c>
      <c r="B35">
        <v>197.6</v>
      </c>
      <c r="C35">
        <f t="shared" si="2"/>
        <v>2.2737854251012148</v>
      </c>
      <c r="D35">
        <f t="shared" si="3"/>
        <v>2.1837044534412957</v>
      </c>
      <c r="E35">
        <f t="shared" si="4"/>
        <v>2.0202429149797569</v>
      </c>
      <c r="F35">
        <f t="shared" si="5"/>
        <v>1.9271255060728747</v>
      </c>
    </row>
    <row r="36" spans="1:6" x14ac:dyDescent="0.3">
      <c r="A36">
        <v>1989</v>
      </c>
      <c r="B36">
        <v>188.3</v>
      </c>
      <c r="C36">
        <f t="shared" si="2"/>
        <v>2.3860860329261815</v>
      </c>
      <c r="D36">
        <f t="shared" si="3"/>
        <v>2.2915560276155071</v>
      </c>
      <c r="E36">
        <f t="shared" si="4"/>
        <v>2.1200212426978222</v>
      </c>
      <c r="F36">
        <f t="shared" si="5"/>
        <v>2.0223048327137545</v>
      </c>
    </row>
    <row r="37" spans="1:6" x14ac:dyDescent="0.3">
      <c r="A37">
        <v>1988</v>
      </c>
      <c r="B37">
        <v>180.5</v>
      </c>
      <c r="C37">
        <f t="shared" si="2"/>
        <v>2.4891966759002773</v>
      </c>
      <c r="D37">
        <f t="shared" si="3"/>
        <v>2.3905817174515236</v>
      </c>
      <c r="E37">
        <f t="shared" si="4"/>
        <v>2.2116343490304708</v>
      </c>
      <c r="F37">
        <f t="shared" si="5"/>
        <v>2.1096952908587259</v>
      </c>
    </row>
    <row r="38" spans="1:6" x14ac:dyDescent="0.3">
      <c r="A38">
        <v>1987</v>
      </c>
      <c r="B38">
        <v>174.1</v>
      </c>
      <c r="C38">
        <f t="shared" si="2"/>
        <v>2.5807007466973007</v>
      </c>
      <c r="D38">
        <f t="shared" si="3"/>
        <v>2.4784606547960943</v>
      </c>
      <c r="E38">
        <f t="shared" si="4"/>
        <v>2.2929350947731191</v>
      </c>
      <c r="F38">
        <f t="shared" si="5"/>
        <v>2.1872487076392879</v>
      </c>
    </row>
    <row r="39" spans="1:6" x14ac:dyDescent="0.3">
      <c r="A39">
        <v>1986</v>
      </c>
      <c r="B39">
        <v>168.4</v>
      </c>
      <c r="C39">
        <f t="shared" si="2"/>
        <v>2.6680522565320666</v>
      </c>
      <c r="D39">
        <f t="shared" si="3"/>
        <v>2.5623515439429929</v>
      </c>
      <c r="E39">
        <f t="shared" si="4"/>
        <v>2.3705463182897861</v>
      </c>
      <c r="F39">
        <f t="shared" si="5"/>
        <v>2.2612826603325415</v>
      </c>
    </row>
    <row r="40" spans="1:6" x14ac:dyDescent="0.3">
      <c r="A40">
        <v>1985</v>
      </c>
      <c r="B40">
        <v>165.6</v>
      </c>
      <c r="C40">
        <f t="shared" si="2"/>
        <v>2.7131642512077296</v>
      </c>
      <c r="D40">
        <f t="shared" si="3"/>
        <v>2.6056763285024154</v>
      </c>
      <c r="E40">
        <f t="shared" si="4"/>
        <v>2.4106280193236715</v>
      </c>
      <c r="F40">
        <f t="shared" si="5"/>
        <v>2.2995169082125604</v>
      </c>
    </row>
    <row r="41" spans="1:6" x14ac:dyDescent="0.3">
      <c r="A41">
        <v>1984</v>
      </c>
      <c r="B41">
        <v>160.19999999999999</v>
      </c>
      <c r="C41">
        <f t="shared" si="2"/>
        <v>2.8046192259675409</v>
      </c>
      <c r="D41">
        <f t="shared" si="3"/>
        <v>2.6935081148564297</v>
      </c>
      <c r="E41">
        <f t="shared" si="4"/>
        <v>2.4918851435705371</v>
      </c>
      <c r="F41">
        <f t="shared" si="5"/>
        <v>2.3770287141073658</v>
      </c>
    </row>
    <row r="42" spans="1:6" x14ac:dyDescent="0.3">
      <c r="A42">
        <v>1983</v>
      </c>
      <c r="B42">
        <v>153.80000000000001</v>
      </c>
      <c r="C42">
        <f t="shared" si="2"/>
        <v>2.9213263979193758</v>
      </c>
      <c r="D42">
        <f t="shared" si="3"/>
        <v>2.8055916775032506</v>
      </c>
      <c r="E42">
        <f t="shared" si="4"/>
        <v>2.5955786736020805</v>
      </c>
      <c r="F42">
        <f t="shared" si="5"/>
        <v>2.4759427828348501</v>
      </c>
    </row>
    <row r="43" spans="1:6" x14ac:dyDescent="0.3">
      <c r="A43">
        <v>1982</v>
      </c>
      <c r="B43">
        <v>147.5</v>
      </c>
      <c r="C43">
        <f t="shared" si="2"/>
        <v>3.0461016949152544</v>
      </c>
      <c r="D43">
        <f t="shared" si="3"/>
        <v>2.9254237288135592</v>
      </c>
      <c r="E43">
        <f t="shared" si="4"/>
        <v>2.7064406779661017</v>
      </c>
      <c r="F43">
        <f t="shared" si="5"/>
        <v>2.5816949152542374</v>
      </c>
    </row>
    <row r="44" spans="1:6" x14ac:dyDescent="0.3">
      <c r="A44">
        <v>1981</v>
      </c>
      <c r="B44">
        <v>139.1</v>
      </c>
      <c r="C44">
        <f t="shared" si="2"/>
        <v>3.2300503235082676</v>
      </c>
      <c r="D44">
        <f t="shared" si="3"/>
        <v>3.1020848310567937</v>
      </c>
      <c r="E44">
        <f t="shared" si="4"/>
        <v>2.8698777857656363</v>
      </c>
      <c r="F44">
        <f t="shared" si="5"/>
        <v>2.7375988497483825</v>
      </c>
    </row>
    <row r="45" spans="1:6" x14ac:dyDescent="0.3">
      <c r="A45">
        <v>1980</v>
      </c>
      <c r="B45">
        <v>127.1</v>
      </c>
      <c r="C45">
        <f t="shared" si="2"/>
        <v>3.5350118017309207</v>
      </c>
      <c r="D45">
        <f t="shared" si="3"/>
        <v>3.3949645948072384</v>
      </c>
      <c r="E45">
        <f t="shared" si="4"/>
        <v>3.1408339889850514</v>
      </c>
      <c r="F45">
        <f t="shared" si="5"/>
        <v>2.996066089693155</v>
      </c>
    </row>
    <row r="46" spans="1:6" x14ac:dyDescent="0.3">
      <c r="A46">
        <v>1979</v>
      </c>
      <c r="B46">
        <v>114.3</v>
      </c>
      <c r="C46">
        <f t="shared" si="2"/>
        <v>3.930883639545057</v>
      </c>
      <c r="D46">
        <f t="shared" si="3"/>
        <v>3.7751531058617673</v>
      </c>
      <c r="E46">
        <f t="shared" si="4"/>
        <v>3.4925634295713035</v>
      </c>
      <c r="F46">
        <f t="shared" si="5"/>
        <v>3.3315835520559931</v>
      </c>
    </row>
    <row r="47" spans="1:6" x14ac:dyDescent="0.3">
      <c r="A47">
        <v>1978</v>
      </c>
      <c r="B47">
        <v>104.4</v>
      </c>
      <c r="C47">
        <f t="shared" si="2"/>
        <v>4.3036398467432946</v>
      </c>
      <c r="D47">
        <f t="shared" si="3"/>
        <v>4.133141762452107</v>
      </c>
      <c r="E47">
        <f t="shared" si="4"/>
        <v>3.8237547892720305</v>
      </c>
      <c r="F47">
        <f t="shared" si="5"/>
        <v>3.647509578544061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F9ED9-28E1-4BE7-8184-11175FEC6A7E}">
  <dimension ref="A1:N27"/>
  <sheetViews>
    <sheetView tabSelected="1" zoomScale="85" zoomScaleNormal="85" workbookViewId="0">
      <selection activeCell="E18" sqref="E18"/>
    </sheetView>
  </sheetViews>
  <sheetFormatPr defaultRowHeight="13" x14ac:dyDescent="0.3"/>
  <cols>
    <col min="1" max="6" width="12.8984375" customWidth="1"/>
  </cols>
  <sheetData>
    <row r="1" spans="1:14" x14ac:dyDescent="0.3">
      <c r="A1" s="1" t="s">
        <v>0</v>
      </c>
      <c r="B1" s="1" t="s">
        <v>6</v>
      </c>
      <c r="C1" s="1" t="s">
        <v>2</v>
      </c>
      <c r="D1" s="1" t="s">
        <v>3</v>
      </c>
      <c r="E1" s="1" t="s">
        <v>4</v>
      </c>
      <c r="F1" s="1" t="s">
        <v>5</v>
      </c>
      <c r="G1" s="1"/>
      <c r="H1" s="1"/>
      <c r="I1" s="1"/>
      <c r="J1" s="1"/>
      <c r="K1" s="1"/>
      <c r="L1" s="1"/>
      <c r="M1" s="1"/>
      <c r="N1" s="1"/>
    </row>
    <row r="2" spans="1:14" x14ac:dyDescent="0.3">
      <c r="A2">
        <v>2023</v>
      </c>
      <c r="B2" cm="1">
        <f t="array" ref="B2">INDEX('[1]monthly cpi west'!R$12:R$37, MATCH(A2,'[1]monthly cpi west'!E$12:E$38, 0), 0)</f>
        <v>323.834</v>
      </c>
      <c r="C2">
        <f>$B$2/B2</f>
        <v>1</v>
      </c>
      <c r="D2">
        <f>$B$3/B2</f>
        <v>0.95885237498224407</v>
      </c>
      <c r="E2">
        <f t="shared" ref="E2:E3" si="0">$B$4/B2</f>
        <v>0.88778201177146321</v>
      </c>
      <c r="F2">
        <f t="shared" ref="F2:F4" si="1">$B$5/B2</f>
        <v>0.84937653242093181</v>
      </c>
    </row>
    <row r="3" spans="1:14" x14ac:dyDescent="0.3">
      <c r="A3">
        <v>2022</v>
      </c>
      <c r="B3" cm="1">
        <f t="array" ref="B3">INDEX('[1]monthly cpi west'!R$12:R$37, MATCH(A3,'[1]monthly cpi west'!E$12:E$38, 0), 0)</f>
        <v>310.50900000000001</v>
      </c>
      <c r="C3">
        <f t="shared" ref="C3:C27" si="2">$B$2/B3</f>
        <v>1.0429134099172648</v>
      </c>
      <c r="D3">
        <f>$B$3/B3</f>
        <v>1</v>
      </c>
      <c r="E3">
        <f t="shared" si="0"/>
        <v>0.92587976515978609</v>
      </c>
      <c r="F3">
        <f t="shared" si="1"/>
        <v>0.88582617573081623</v>
      </c>
    </row>
    <row r="4" spans="1:14" x14ac:dyDescent="0.3">
      <c r="A4">
        <v>2021</v>
      </c>
      <c r="B4" cm="1">
        <f t="array" ref="B4">INDEX('[1]monthly cpi west'!R$12:R$37, MATCH(A4,'[1]monthly cpi west'!E$12:E$38, 0), 0)</f>
        <v>287.49400000000003</v>
      </c>
      <c r="C4">
        <f t="shared" si="2"/>
        <v>1.1264026379680967</v>
      </c>
      <c r="D4">
        <f t="shared" ref="D4:D27" si="3">$B$3/B4</f>
        <v>1.0800538446019743</v>
      </c>
      <c r="E4">
        <f>$B$4/B4</f>
        <v>1</v>
      </c>
      <c r="F4">
        <f t="shared" si="1"/>
        <v>0.95673996674713213</v>
      </c>
    </row>
    <row r="5" spans="1:14" x14ac:dyDescent="0.3">
      <c r="A5">
        <v>2020</v>
      </c>
      <c r="B5" cm="1">
        <f t="array" ref="B5">INDEX('[1]monthly cpi west'!R$12:R$37, MATCH(A5,'[1]monthly cpi west'!E$12:E$38, 0), 0)</f>
        <v>275.05700000000002</v>
      </c>
      <c r="C5">
        <f t="shared" si="2"/>
        <v>1.1773341525574699</v>
      </c>
      <c r="D5">
        <f t="shared" si="3"/>
        <v>1.1288896483274375</v>
      </c>
      <c r="E5">
        <f t="shared" ref="E5:E27" si="4">$B$4/B5</f>
        <v>1.0452160824847214</v>
      </c>
      <c r="F5">
        <f>$B$5/B5</f>
        <v>1</v>
      </c>
    </row>
    <row r="6" spans="1:14" x14ac:dyDescent="0.3">
      <c r="A6">
        <v>2019</v>
      </c>
      <c r="B6" cm="1">
        <f t="array" ref="B6">INDEX('[1]monthly cpi west'!R$12:R$37, MATCH(A6,'[1]monthly cpi west'!E$12:E$38, 0), 0)</f>
        <v>270.34991666666662</v>
      </c>
      <c r="C6">
        <f t="shared" si="2"/>
        <v>1.1978328086532302</v>
      </c>
      <c r="D6">
        <f t="shared" si="3"/>
        <v>1.1485448334088015</v>
      </c>
      <c r="E6">
        <f t="shared" si="4"/>
        <v>1.0634144206320268</v>
      </c>
      <c r="F6">
        <f t="shared" ref="F6:F27" si="5">$B$5/B6</f>
        <v>1.017411077433906</v>
      </c>
    </row>
    <row r="7" spans="1:14" x14ac:dyDescent="0.3">
      <c r="A7">
        <v>2018</v>
      </c>
      <c r="B7" cm="1">
        <f t="array" ref="B7">INDEX('[1]monthly cpi west'!R$12:R$37, MATCH(A7,'[1]monthly cpi west'!E$12:E$38, 0), 0)</f>
        <v>263.26333333333332</v>
      </c>
      <c r="C7">
        <f t="shared" si="2"/>
        <v>1.2300763494093367</v>
      </c>
      <c r="D7">
        <f t="shared" si="3"/>
        <v>1.1794616290406312</v>
      </c>
      <c r="E7">
        <f t="shared" si="4"/>
        <v>1.0920396561111183</v>
      </c>
      <c r="F7">
        <f t="shared" si="5"/>
        <v>1.0447979842743009</v>
      </c>
    </row>
    <row r="8" spans="1:14" x14ac:dyDescent="0.3">
      <c r="A8">
        <v>2017</v>
      </c>
      <c r="B8" cm="1">
        <f t="array" ref="B8">INDEX('[1]monthly cpi west'!R$12:R$37, MATCH(A8,'[1]monthly cpi west'!E$12:E$38, 0), 0)</f>
        <v>254.738</v>
      </c>
      <c r="C8">
        <f t="shared" si="2"/>
        <v>1.27124339517465</v>
      </c>
      <c r="D8">
        <f t="shared" si="3"/>
        <v>1.2189347486437045</v>
      </c>
      <c r="E8" s="2">
        <f t="shared" si="4"/>
        <v>1.1285870188193361</v>
      </c>
      <c r="F8">
        <f t="shared" si="5"/>
        <v>1.0797643068564564</v>
      </c>
    </row>
    <row r="9" spans="1:14" x14ac:dyDescent="0.3">
      <c r="A9">
        <v>2016</v>
      </c>
      <c r="B9" cm="1">
        <f t="array" ref="B9">INDEX('[1]monthly cpi west'!R$12:R$37, MATCH(A9,'[1]monthly cpi west'!E$12:E$38, 0), 0)</f>
        <v>247.70500000000001</v>
      </c>
      <c r="C9">
        <f t="shared" si="2"/>
        <v>1.3073373569366786</v>
      </c>
      <c r="D9">
        <f t="shared" si="3"/>
        <v>1.2535435296017441</v>
      </c>
      <c r="E9">
        <f t="shared" si="4"/>
        <v>1.1606305888052322</v>
      </c>
      <c r="F9">
        <f t="shared" si="5"/>
        <v>1.1104216709392221</v>
      </c>
    </row>
    <row r="10" spans="1:14" x14ac:dyDescent="0.3">
      <c r="A10">
        <v>2015</v>
      </c>
      <c r="B10" cm="1">
        <f t="array" ref="B10">INDEX('[1]monthly cpi west'!R$12:R$37, MATCH(A10,'[1]monthly cpi west'!E$12:E$38, 0), 0)</f>
        <v>243.01499999999999</v>
      </c>
      <c r="C10">
        <f t="shared" si="2"/>
        <v>1.3325679484805466</v>
      </c>
      <c r="D10">
        <f t="shared" si="3"/>
        <v>1.2777359422257886</v>
      </c>
      <c r="E10">
        <f t="shared" si="4"/>
        <v>1.1830298541242312</v>
      </c>
      <c r="F10">
        <f t="shared" si="5"/>
        <v>1.1318519432956815</v>
      </c>
    </row>
    <row r="11" spans="1:14" x14ac:dyDescent="0.3">
      <c r="A11">
        <v>2014</v>
      </c>
      <c r="B11" cm="1">
        <f t="array" ref="B11">INDEX('[1]monthly cpi west'!R$12:R$37, MATCH(A11,'[1]monthly cpi west'!E$12:E$38, 0), 0)</f>
        <v>240.215</v>
      </c>
      <c r="C11">
        <f t="shared" si="2"/>
        <v>1.3481006598255729</v>
      </c>
      <c r="D11">
        <f t="shared" si="3"/>
        <v>1.2926295193888808</v>
      </c>
      <c r="E11">
        <f t="shared" si="4"/>
        <v>1.196819515850384</v>
      </c>
      <c r="F11">
        <f t="shared" si="5"/>
        <v>1.1450450637970153</v>
      </c>
    </row>
    <row r="12" spans="1:14" x14ac:dyDescent="0.3">
      <c r="A12">
        <v>2013</v>
      </c>
      <c r="B12" cm="1">
        <f t="array" ref="B12">INDEX('[1]monthly cpi west'!R$12:R$37, MATCH(A12,'[1]monthly cpi west'!E$12:E$38, 0), 0)</f>
        <v>235.82400000000001</v>
      </c>
      <c r="C12">
        <f t="shared" si="2"/>
        <v>1.3732020489856842</v>
      </c>
      <c r="D12">
        <f t="shared" si="3"/>
        <v>1.3166980460004072</v>
      </c>
      <c r="E12">
        <f t="shared" si="4"/>
        <v>1.2191040776172062</v>
      </c>
      <c r="F12">
        <f t="shared" si="5"/>
        <v>1.1663655946807789</v>
      </c>
    </row>
    <row r="13" spans="1:14" x14ac:dyDescent="0.3">
      <c r="A13">
        <v>2012</v>
      </c>
      <c r="B13" cm="1">
        <f t="array" ref="B13">INDEX('[1]monthly cpi west'!R$12:R$37, MATCH(A13,'[1]monthly cpi west'!E$12:E$38, 0), 0)</f>
        <v>232.376</v>
      </c>
      <c r="C13">
        <f t="shared" si="2"/>
        <v>1.3935776500154922</v>
      </c>
      <c r="D13">
        <f t="shared" si="3"/>
        <v>1.3362352394395292</v>
      </c>
      <c r="E13">
        <f t="shared" si="4"/>
        <v>1.2371931696905016</v>
      </c>
      <c r="F13">
        <f t="shared" si="5"/>
        <v>1.1836721520294695</v>
      </c>
    </row>
    <row r="14" spans="1:14" x14ac:dyDescent="0.3">
      <c r="A14">
        <v>2011</v>
      </c>
      <c r="B14" cm="1">
        <f t="array" ref="B14">INDEX('[1]monthly cpi west'!R$12:R$37, MATCH(A14,'[1]monthly cpi west'!E$12:E$38, 0), 0)</f>
        <v>227.48500000000001</v>
      </c>
      <c r="C14">
        <f t="shared" si="2"/>
        <v>1.423540013627272</v>
      </c>
      <c r="D14">
        <f t="shared" si="3"/>
        <v>1.3649647229487658</v>
      </c>
      <c r="E14">
        <f t="shared" si="4"/>
        <v>1.2637932171351958</v>
      </c>
      <c r="F14">
        <f t="shared" si="5"/>
        <v>1.2091214805371784</v>
      </c>
    </row>
    <row r="15" spans="1:14" x14ac:dyDescent="0.3">
      <c r="A15">
        <v>2010</v>
      </c>
      <c r="B15" cm="1">
        <f t="array" ref="B15">INDEX('[1]monthly cpi west'!R$12:R$37, MATCH(A15,'[1]monthly cpi west'!E$12:E$38, 0), 0)</f>
        <v>221.203</v>
      </c>
      <c r="C15">
        <f t="shared" si="2"/>
        <v>1.4639674868785686</v>
      </c>
      <c r="D15">
        <f t="shared" si="3"/>
        <v>1.4037287016903026</v>
      </c>
      <c r="E15">
        <f t="shared" si="4"/>
        <v>1.2996840006690689</v>
      </c>
      <c r="F15">
        <f t="shared" si="5"/>
        <v>1.2434596275819045</v>
      </c>
    </row>
    <row r="16" spans="1:14" x14ac:dyDescent="0.3">
      <c r="A16">
        <v>2009</v>
      </c>
      <c r="B16" cm="1">
        <f t="array" ref="B16">INDEX('[1]monthly cpi west'!R$12:R$37, MATCH(A16,'[1]monthly cpi west'!E$12:E$38, 0), 0)</f>
        <v>218.822</v>
      </c>
      <c r="C16">
        <f t="shared" si="2"/>
        <v>1.4798969025052326</v>
      </c>
      <c r="D16">
        <f t="shared" si="3"/>
        <v>1.4190026596960086</v>
      </c>
      <c r="E16">
        <f t="shared" si="4"/>
        <v>1.3138258493204524</v>
      </c>
      <c r="F16">
        <f t="shared" si="5"/>
        <v>1.2569896993903722</v>
      </c>
    </row>
    <row r="17" spans="1:6" x14ac:dyDescent="0.3">
      <c r="A17">
        <v>2008</v>
      </c>
      <c r="B17" cm="1">
        <f t="array" ref="B17">INDEX('[1]monthly cpi west'!R$12:R$37, MATCH(A17,'[1]monthly cpi west'!E$12:E$38, 0), 0)</f>
        <v>219.64599999999999</v>
      </c>
      <c r="C17">
        <f t="shared" si="2"/>
        <v>1.4743450825419084</v>
      </c>
      <c r="D17">
        <f t="shared" si="3"/>
        <v>1.4136792839387016</v>
      </c>
      <c r="E17">
        <f t="shared" si="4"/>
        <v>1.3088970434244196</v>
      </c>
      <c r="F17">
        <f t="shared" si="5"/>
        <v>1.2522741138012985</v>
      </c>
    </row>
    <row r="18" spans="1:6" x14ac:dyDescent="0.3">
      <c r="A18">
        <v>2007</v>
      </c>
      <c r="B18" cm="1">
        <f t="array" ref="B18">INDEX('[1]monthly cpi west'!R$12:R$37, MATCH(A18,'[1]monthly cpi west'!E$12:E$38, 0), 0)</f>
        <v>212.23</v>
      </c>
      <c r="C18">
        <f t="shared" si="2"/>
        <v>1.5258634500306272</v>
      </c>
      <c r="D18">
        <f t="shared" si="3"/>
        <v>1.4630777929604675</v>
      </c>
      <c r="E18">
        <f t="shared" si="4"/>
        <v>1.3546341233567358</v>
      </c>
      <c r="F18">
        <f t="shared" si="5"/>
        <v>1.2960326061348539</v>
      </c>
    </row>
    <row r="19" spans="1:6" x14ac:dyDescent="0.3">
      <c r="A19">
        <v>2006</v>
      </c>
      <c r="B19" cm="1">
        <f t="array" ref="B19">INDEX('[1]monthly cpi west'!R$12:R$37, MATCH(A19,'[1]monthly cpi west'!E$12:E$38, 0), 0)</f>
        <v>205.7</v>
      </c>
      <c r="C19">
        <f t="shared" si="2"/>
        <v>1.5743023821098689</v>
      </c>
      <c r="D19">
        <f t="shared" si="3"/>
        <v>1.5095235780262519</v>
      </c>
      <c r="E19">
        <f t="shared" si="4"/>
        <v>1.3976373359261063</v>
      </c>
      <c r="F19">
        <f t="shared" si="5"/>
        <v>1.3371754982984931</v>
      </c>
    </row>
    <row r="20" spans="1:6" x14ac:dyDescent="0.3">
      <c r="A20">
        <v>2005</v>
      </c>
      <c r="B20" cm="1">
        <f t="array" ref="B20">INDEX('[1]monthly cpi west'!R$12:R$37, MATCH(A20,'[1]monthly cpi west'!E$12:E$38, 0), 0)</f>
        <v>198.9</v>
      </c>
      <c r="C20">
        <f t="shared" si="2"/>
        <v>1.6281246857717446</v>
      </c>
      <c r="D20">
        <f t="shared" si="3"/>
        <v>1.5611312217194571</v>
      </c>
      <c r="E20">
        <f t="shared" si="4"/>
        <v>1.4454198089492207</v>
      </c>
      <c r="F20">
        <f t="shared" si="5"/>
        <v>1.3828908999497236</v>
      </c>
    </row>
    <row r="21" spans="1:6" x14ac:dyDescent="0.3">
      <c r="A21">
        <v>2004</v>
      </c>
      <c r="B21" cm="1">
        <f t="array" ref="B21">INDEX('[1]monthly cpi west'!R$12:R$37, MATCH(A21,'[1]monthly cpi west'!E$12:E$38, 0), 0)</f>
        <v>193</v>
      </c>
      <c r="C21">
        <f t="shared" si="2"/>
        <v>1.6778963730569949</v>
      </c>
      <c r="D21">
        <f t="shared" si="3"/>
        <v>1.6088549222797928</v>
      </c>
      <c r="E21">
        <f t="shared" si="4"/>
        <v>1.4896062176165805</v>
      </c>
      <c r="F21">
        <f t="shared" si="5"/>
        <v>1.4251658031088084</v>
      </c>
    </row>
    <row r="22" spans="1:6" x14ac:dyDescent="0.3">
      <c r="A22">
        <v>2003</v>
      </c>
      <c r="B22" cm="1">
        <f t="array" ref="B22">INDEX('[1]monthly cpi west'!R$12:R$37, MATCH(A22,'[1]monthly cpi west'!E$12:E$38, 0), 0)</f>
        <v>188.6</v>
      </c>
      <c r="C22">
        <f t="shared" si="2"/>
        <v>1.7170413573700956</v>
      </c>
      <c r="D22">
        <f t="shared" si="3"/>
        <v>1.6463891834570521</v>
      </c>
      <c r="E22">
        <f t="shared" si="4"/>
        <v>1.5243584305408273</v>
      </c>
      <c r="F22">
        <f t="shared" si="5"/>
        <v>1.4584146341463415</v>
      </c>
    </row>
    <row r="23" spans="1:6" x14ac:dyDescent="0.3">
      <c r="A23">
        <v>2002</v>
      </c>
      <c r="B23" cm="1">
        <f t="array" ref="B23">INDEX('[1]monthly cpi west'!R$12:R$37, MATCH(A23,'[1]monthly cpi west'!E$12:E$38, 0), 0)</f>
        <v>184.7</v>
      </c>
      <c r="C23">
        <f t="shared" si="2"/>
        <v>1.7532972387655659</v>
      </c>
      <c r="D23">
        <f t="shared" si="3"/>
        <v>1.6811532214401734</v>
      </c>
      <c r="E23">
        <f t="shared" si="4"/>
        <v>1.5565457498646456</v>
      </c>
      <c r="F23">
        <f t="shared" si="5"/>
        <v>1.4892095289658909</v>
      </c>
    </row>
    <row r="24" spans="1:6" x14ac:dyDescent="0.3">
      <c r="A24">
        <v>2001</v>
      </c>
      <c r="B24" cm="1">
        <f t="array" ref="B24">INDEX('[1]monthly cpi west'!R$12:R$37, MATCH(A24,'[1]monthly cpi west'!E$12:E$38, 0), 0)</f>
        <v>181.2</v>
      </c>
      <c r="C24">
        <f t="shared" si="2"/>
        <v>1.7871633554083886</v>
      </c>
      <c r="D24">
        <f t="shared" si="3"/>
        <v>1.7136258278145697</v>
      </c>
      <c r="E24">
        <f t="shared" si="4"/>
        <v>1.5866114790286978</v>
      </c>
      <c r="F24">
        <f t="shared" si="5"/>
        <v>1.5179746136865344</v>
      </c>
    </row>
    <row r="25" spans="1:6" x14ac:dyDescent="0.3">
      <c r="A25">
        <v>2000</v>
      </c>
      <c r="B25" cm="1">
        <f t="array" ref="B25">INDEX('[1]monthly cpi west'!R$12:R$37, MATCH(A25,'[1]monthly cpi west'!E$12:E$38, 0), 0)</f>
        <v>174.8</v>
      </c>
      <c r="C25">
        <f t="shared" si="2"/>
        <v>1.8525972540045765</v>
      </c>
      <c r="D25">
        <f t="shared" si="3"/>
        <v>1.7763672768878718</v>
      </c>
      <c r="E25">
        <f t="shared" si="4"/>
        <v>1.6447025171624714</v>
      </c>
      <c r="F25">
        <f t="shared" si="5"/>
        <v>1.5735526315789474</v>
      </c>
    </row>
    <row r="26" spans="1:6" x14ac:dyDescent="0.3">
      <c r="A26">
        <v>1999</v>
      </c>
      <c r="B26" cm="1">
        <f t="array" ref="B26">INDEX('[1]monthly cpi west'!R$12:R$37, MATCH(A26,'[1]monthly cpi west'!E$12:E$38, 0), 0)</f>
        <v>168.9</v>
      </c>
      <c r="C26">
        <f t="shared" si="2"/>
        <v>1.9173120189461219</v>
      </c>
      <c r="D26">
        <f t="shared" si="3"/>
        <v>1.8384191829484902</v>
      </c>
      <c r="E26">
        <f t="shared" si="4"/>
        <v>1.7021551213735939</v>
      </c>
      <c r="F26">
        <f t="shared" si="5"/>
        <v>1.6285198342214329</v>
      </c>
    </row>
    <row r="27" spans="1:6" x14ac:dyDescent="0.3">
      <c r="A27">
        <v>1998</v>
      </c>
      <c r="B27" cm="1">
        <f t="array" ref="B27">INDEX('[1]monthly cpi west'!R$12:R$37, MATCH(A27,'[1]monthly cpi west'!E$12:E$38, 0), 0)</f>
        <v>164.4</v>
      </c>
      <c r="C27">
        <f t="shared" si="2"/>
        <v>1.9697931873479317</v>
      </c>
      <c r="D27">
        <f t="shared" si="3"/>
        <v>1.8887408759124087</v>
      </c>
      <c r="E27">
        <f t="shared" si="4"/>
        <v>1.7487469586374698</v>
      </c>
      <c r="F27">
        <f t="shared" si="5"/>
        <v>1.6730961070559611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Sources</vt:lpstr>
      <vt:lpstr>CA</vt:lpstr>
      <vt:lpstr>BLS_National</vt:lpstr>
      <vt:lpstr>BLS_West</vt:lpstr>
    </vt:vector>
  </TitlesOfParts>
  <Company>DIR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Entire California Consumer Price Index</dc:title>
  <dc:creator>Office of the Director - Research Unit</dc:creator>
  <cp:lastModifiedBy>Joshua Fontes</cp:lastModifiedBy>
  <dcterms:created xsi:type="dcterms:W3CDTF">2024-06-04T23:42:28Z</dcterms:created>
  <dcterms:modified xsi:type="dcterms:W3CDTF">2024-06-07T21:46:46Z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0x01010052C741545122D349973C8B6453BA440D</vt:lpwstr>
  </property>
  <property fmtid="{D5CDD505-2E9C-101B-9397-08002B2CF9AE}" pid="3" name="Created">
    <vt:filetime>2024-04-11T00:00:00Z</vt:filetime>
  </property>
  <property fmtid="{D5CDD505-2E9C-101B-9397-08002B2CF9AE}" pid="4" name="Creator">
    <vt:lpwstr>Acrobat PDFMaker 22 for Word</vt:lpwstr>
  </property>
  <property fmtid="{D5CDD505-2E9C-101B-9397-08002B2CF9AE}" pid="5" name="LastSaved">
    <vt:filetime>2024-06-04T00:00:00Z</vt:filetime>
  </property>
  <property fmtid="{D5CDD505-2E9C-101B-9397-08002B2CF9AE}" pid="6" name="Producer">
    <vt:lpwstr>Adobe PDF Library 22.1.149</vt:lpwstr>
  </property>
  <property fmtid="{D5CDD505-2E9C-101B-9397-08002B2CF9AE}" pid="7" name="SourceModified">
    <vt:lpwstr>D:20240411204158</vt:lpwstr>
  </property>
</Properties>
</file>